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mc:AlternateContent xmlns:mc="http://schemas.openxmlformats.org/markup-compatibility/2006">
    <mc:Choice Requires="x15">
      <x15ac:absPath xmlns:x15ac="http://schemas.microsoft.com/office/spreadsheetml/2010/11/ac" url="C:\Users\ysche\Downloads\"/>
    </mc:Choice>
  </mc:AlternateContent>
  <xr:revisionPtr revIDLastSave="0" documentId="8_{3E2AD726-FCB5-4004-B499-D314F00F6CCA}" xr6:coauthVersionLast="47" xr6:coauthVersionMax="47" xr10:uidLastSave="{00000000-0000-0000-0000-000000000000}"/>
  <bookViews>
    <workbookView xWindow="-57720" yWindow="-2700" windowWidth="29040" windowHeight="15720" xr2:uid="{44EEA75D-67FD-4678-9465-A167448191E0}"/>
  </bookViews>
  <sheets>
    <sheet name="Combined Price List 25-26 Sum" sheetId="8" r:id="rId1"/>
    <sheet name="Processing Charges 25-26 Sum" sheetId="9" r:id="rId2"/>
    <sheet name="Config 25-26 Sum" sheetId="4" r:id="rId3"/>
    <sheet name="Discount 25-26 Sum" sheetId="10" r:id="rId4"/>
    <sheet name="Surcharge Editing Page" sheetId="11" r:id="rId5"/>
  </sheets>
  <definedNames>
    <definedName name="_xlnm._FilterDatabase" localSheetId="0" hidden="1">'Combined Price List 25-26 Sum'!$A$1:$G$18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7" i="4"/>
  <c r="C6" i="4"/>
  <c r="C5" i="4"/>
  <c r="C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tc={95C4827B-5123-4C4C-BCC5-1F9E12EC2F94}</author>
    <author>tc={6B60686D-BC4D-4978-998C-B0CDB58BDE12}</author>
  </authors>
  <commentList>
    <comment ref="B1" authorId="0" shapeId="0" xr:uid="{95C4827B-5123-4C4C-BCC5-1F9E12EC2F9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
Reply:
    no</t>
      </text>
    </comment>
    <comment ref="D1" authorId="1" shapeId="0" xr:uid="{6B60686D-BC4D-4978-998C-B0CDB58BDE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tc={FDC41442-EA4A-44FE-95C1-25AC5114304F}</author>
    <author>tc={B80C5D08-F490-4C94-8BE6-CED8706A0349}</author>
    <author>tc={2CD709E5-6602-44AE-BD30-878E6D568E66}</author>
  </authors>
  <commentList>
    <comment ref="A1" authorId="0" shapeId="0" xr:uid="{FDC41442-EA4A-44FE-95C1-25AC5114304F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we need this or not?
Reply:
    - Group A are reagents for application A
- Group C is a different application
- Group D is a service fee
Generally, the quote is divided into reagents and service costs.</t>
      </text>
    </comment>
    <comment ref="D1" authorId="1" shapeId="0" xr:uid="{B80C5D08-F490-4C94-8BE6-CED8706A0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  <comment ref="E1" authorId="2" shapeId="0" xr:uid="{2CD709E5-6602-44AE-BD30-878E6D568E66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</commentList>
</comments>
</file>

<file path=xl/sharedStrings.xml><?xml version="1.0" encoding="utf-8"?>
<sst xmlns="http://schemas.openxmlformats.org/spreadsheetml/2006/main" count="151" uniqueCount="86">
  <si>
    <t>Product Code</t>
  </si>
  <si>
    <t>Brand</t>
  </si>
  <si>
    <t>Item</t>
  </si>
  <si>
    <t>Item Category</t>
  </si>
  <si>
    <t>Description</t>
  </si>
  <si>
    <t>Per Reaction Cost ($)</t>
  </si>
  <si>
    <t>Additional reagent Cost (not incl. in kit)</t>
  </si>
  <si>
    <t>Constant Cost</t>
  </si>
  <si>
    <t>Item Specific Discount</t>
  </si>
  <si>
    <t>Platform</t>
  </si>
  <si>
    <t>10X-1000263</t>
  </si>
  <si>
    <t>Next GEM 5' V2 GEX + Human/Mouse VDJ + Feature Barcode. DUAL INDEXING</t>
  </si>
  <si>
    <t>Chromium Next GEM Single Cell 5' Kit v2, 16 rxns</t>
  </si>
  <si>
    <t>Library &amp; Gel Bead Kit</t>
  </si>
  <si>
    <t>Type1;Type2</t>
  </si>
  <si>
    <t>10X-1000265</t>
  </si>
  <si>
    <t>Chromium Next GEM Single Cell 5' Kit v2, 4 rxns</t>
  </si>
  <si>
    <t>Type1;Type2;Type3</t>
  </si>
  <si>
    <t>10X-1000190</t>
  </si>
  <si>
    <t>5' Feature Barcode Kit, 16 rxns</t>
  </si>
  <si>
    <t>Additional Library Kits</t>
  </si>
  <si>
    <t>Type1</t>
  </si>
  <si>
    <t>10X-1000541</t>
  </si>
  <si>
    <t>5' CRISPR Kit, 16 rxns</t>
  </si>
  <si>
    <t>10X-1000451</t>
  </si>
  <si>
    <t>Chromium Single Cell</t>
  </si>
  <si>
    <t>ALL_PLATFORMS</t>
  </si>
  <si>
    <t>10X-1234572</t>
  </si>
  <si>
    <t>Chromium Single Cell Mouse TCR Amplification Kit, 16 rxns</t>
  </si>
  <si>
    <t>V(D)J Enrichment Kit</t>
  </si>
  <si>
    <t>10X-1000695</t>
  </si>
  <si>
    <t>GEM-X Single Immune Profiling Solution v3</t>
  </si>
  <si>
    <t>Chromium GEM-X Single Cell 5' Kit v3, 4 rxns</t>
  </si>
  <si>
    <t>10X-1000699</t>
  </si>
  <si>
    <t>Chromium GEM-X Single Cell 5' Kit v3, 16 rxns</t>
  </si>
  <si>
    <t>Type1;Type3</t>
  </si>
  <si>
    <t>10X-1000712</t>
  </si>
  <si>
    <t>Chromium GEM-X Single Cell 5' Kit v3, 48 rxns</t>
  </si>
  <si>
    <t>Type2</t>
  </si>
  <si>
    <t>10X-1000694</t>
  </si>
  <si>
    <t>Library Construction Kit C, 16 rxns</t>
  </si>
  <si>
    <t>Type2;Type3</t>
  </si>
  <si>
    <t>10X-1000703</t>
  </si>
  <si>
    <t>Chromium GEM-X Single Cell 5’ Feature Barcode Kit v3, 16 rxns</t>
  </si>
  <si>
    <t>KBrand 775 from 10x</t>
  </si>
  <si>
    <t>Type3</t>
  </si>
  <si>
    <t>Type2;Type1</t>
  </si>
  <si>
    <t>Group</t>
  </si>
  <si>
    <t>Applications (Brand)</t>
  </si>
  <si>
    <t>Service</t>
  </si>
  <si>
    <t>Base Price</t>
  </si>
  <si>
    <t>Group A (Core Reagents)</t>
  </si>
  <si>
    <t>Next GEM 5' V2 GEX + Human/Mouse VDJ + Feature Barcode. DUAL INDEXING;KBrand 775 from 10x</t>
  </si>
  <si>
    <t>3'GEX / 5'GEX</t>
  </si>
  <si>
    <t>3'GEX-HT /5'GEX-HT</t>
  </si>
  <si>
    <t>BCR / TCR</t>
  </si>
  <si>
    <t>TotalSeq Panel titration (&lt;10 Abs)</t>
  </si>
  <si>
    <t>Group C (Reagents for a different application)</t>
  </si>
  <si>
    <t>Xenium</t>
  </si>
  <si>
    <t>Group D (Service Fee)</t>
  </si>
  <si>
    <t>ALL_BRANDS</t>
  </si>
  <si>
    <t>Bioinformatics ANALYSIS  (1 week)</t>
  </si>
  <si>
    <t>Surcharge Type</t>
  </si>
  <si>
    <t>Surcharge Label</t>
  </si>
  <si>
    <t>Surcharge Amount</t>
  </si>
  <si>
    <t>PRICE_LIST</t>
  </si>
  <si>
    <t>Internal</t>
  </si>
  <si>
    <t>External</t>
  </si>
  <si>
    <t>PROCESSING</t>
  </si>
  <si>
    <t>Internal PRJ</t>
  </si>
  <si>
    <t>Ext. Collaborative Non-PRJ</t>
  </si>
  <si>
    <t>Ext. RSA Non-PRJ</t>
  </si>
  <si>
    <t>Commercial Non-PRJ</t>
  </si>
  <si>
    <t>Discount Supplier</t>
  </si>
  <si>
    <t>Discount Label</t>
  </si>
  <si>
    <t>Discount Amount</t>
  </si>
  <si>
    <t>End Date</t>
  </si>
  <si>
    <t>Single-Cell Discount</t>
  </si>
  <si>
    <t>Spatial Discount</t>
  </si>
  <si>
    <t xml:space="preserve">GEM-X </t>
  </si>
  <si>
    <t>Gem-X1 Discount</t>
  </si>
  <si>
    <t>Gem-X2 Discount</t>
  </si>
  <si>
    <t>Surcharges</t>
  </si>
  <si>
    <t>Consumables</t>
  </si>
  <si>
    <t>Ext. Commercial Non-PRJ</t>
  </si>
  <si>
    <t>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</si>
</sst>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[$$-C09]#,##0.00"/>
    <numFmt numFmtId="165" formatCode="yyyy\-mm\-dd;@"/>
  </numFmts>
  <fonts count="21">
    <font>
      <sz val="11"/>
      <color theme="1"/>
      <name val="Aptos Narrow"/>
      <family val="2"/>
      <charset val="134"/>
      <scheme val="minor"/>
    </font>
    <font>
      <sz val="8"/>
      <name val="Aptos Narrow"/>
      <family val="2"/>
      <charset val="134"/>
      <scheme val="minor"/>
    </font>
    <font>
      <b/>
      <sz val="11"/>
      <color indexed="8"/>
      <name val="Aptos Narrow"/>
      <family val="2"/>
      <scheme val="minor"/>
    </font>
    <font>
      <sz val="11"/>
      <color rgb="FF242424"/>
      <name val="Aptos Narrow"/>
      <charset val="1"/>
    </font>
    <font>
      <sz val="11"/>
      <name val="Aptos Narrow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1"/>
      <color theme="1"/>
      <name val="Aptos Narrow"/>
      <family val="2"/>
      <charset val="134"/>
      <scheme val="minor"/>
    </font>
    <font>
      <sz val="11"/>
      <color rgb="FF000000"/>
      <name val="Aptos Narrow"/>
      <family val="2"/>
      <charset val="134"/>
    </font>
    <font>
      <b/>
      <sz val="11"/>
      <color indexed="8"/>
      <name val="Aptos Narrow"/>
      <family val="2"/>
      <charset val="134"/>
      <scheme val="minor"/>
    </font>
    <font>
      <sz val="11"/>
      <color rgb="FF262626"/>
      <name val="Aptos Display"/>
      <scheme val="major"/>
    </font>
    <font>
      <i/>
      <sz val="11"/>
      <color theme="1"/>
      <name val="Aptos Narrow"/>
      <family val="2"/>
      <charset val="134"/>
      <scheme val="minor"/>
    </font>
    <font>
      <i/>
      <sz val="11"/>
      <color rgb="FF262626"/>
      <name val="Aptos Display"/>
      <family val="2"/>
      <scheme val="major"/>
    </font>
    <font>
      <sz val="11"/>
      <color rgb="FF262626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20"/>
      <color theme="1"/>
      <name val="Aptos Display"/>
      <family val="2"/>
      <scheme val="major"/>
    </font>
    <font>
      <i/>
      <u/>
      <sz val="11"/>
      <color theme="1"/>
      <name val="Aptos Display"/>
      <family val="2"/>
      <scheme val="major"/>
    </font>
    <font>
      <b/>
      <i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/>
    <xf numFmtId="0" fontId="4" fillId="0" borderId="0" xfId="0" applyFont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8" fontId="9" fillId="0" borderId="0" xfId="0" applyNumberFormat="1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wrapText="1"/>
    </xf>
    <xf numFmtId="0" fontId="10" fillId="0" borderId="0" xfId="0" applyFont="1"/>
    <xf numFmtId="0" fontId="8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0" borderId="0" xfId="0" applyFont="1"/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wrapText="1"/>
    </xf>
    <xf numFmtId="0" fontId="16" fillId="0" borderId="0" xfId="0" applyFont="1"/>
    <xf numFmtId="0" fontId="17" fillId="0" borderId="0" xfId="0" applyFont="1"/>
    <xf numFmtId="0" fontId="17" fillId="0" borderId="0" xfId="0" applyFont="1" applyAlignment="1">
      <alignment wrapText="1"/>
    </xf>
    <xf numFmtId="0" fontId="18" fillId="0" borderId="0" xfId="0" applyFont="1"/>
    <xf numFmtId="0" fontId="19" fillId="0" borderId="0" xfId="0" applyFont="1"/>
    <xf numFmtId="0" fontId="20" fillId="0" borderId="0" xfId="0" applyFont="1"/>
    <xf numFmtId="165" fontId="20" fillId="0" borderId="0" xfId="0" applyNumberFormat="1" applyFont="1"/>
    <xf numFmtId="165" fontId="15" fillId="0" borderId="0" xfId="0" applyNumberFormat="1" applyFont="1"/>
    <xf numFmtId="165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ixuan ZHOU" id="{664E8236-09EB-46DA-9EC7-7A13172C1722}" userId="S::yzhou3993_student.unimelb.edu.au#ext#@wehieduau.onmicrosoft.com::f8f17cf8-cd78-4e99-a65f-3070210c10b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2-03T06:56:06.01" personId="{664E8236-09EB-46DA-9EC7-7A13172C1722}" id="{95C4827B-5123-4C4C-BCC5-1F9E12EC2F94}">
    <text>Can we remove this column?</text>
  </threadedComment>
  <threadedComment ref="B1" dT="2025-12-05T00:53:02.67" personId="{664E8236-09EB-46DA-9EC7-7A13172C1722}" id="{92D8A7A8-C982-4CEC-B7C3-88B9BBB8DB31}" parentId="{95C4827B-5123-4C4C-BCC5-1F9E12EC2F94}">
    <text>no</text>
  </threadedComment>
  <threadedComment ref="D1" dT="2025-12-03T06:55:45.56" personId="{664E8236-09EB-46DA-9EC7-7A13172C1722}" id="{6B60686D-BC4D-4978-998C-B0CDB58BDE12}">
    <text>Can we remove this column?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1T03:32:27.31" personId="{664E8236-09EB-46DA-9EC7-7A13172C1722}" id="{FDC41442-EA4A-44FE-95C1-25AC5114304F}">
    <text>should we need this or not?</text>
  </threadedComment>
  <threadedComment ref="A1" dT="2025-12-04T02:03:53.72" personId="{664E8236-09EB-46DA-9EC7-7A13172C1722}" id="{442D3DD2-61A3-494F-AAB4-3DF5A90F24C3}" parentId="{FDC41442-EA4A-44FE-95C1-25AC5114304F}">
    <text>- Group A are reagents for application A
- Group C is a different application
- Group D is a service fee
Generally, the quote is divided into reagents and service costs.</text>
  </threadedComment>
  <threadedComment ref="D1" dT="2025-12-05T00:06:50.44" personId="{664E8236-09EB-46DA-9EC7-7A13172C1722}" id="{B80C5D08-F490-4C94-8BE6-CED8706A0349}">
    <text>maybe we can remove this</text>
  </threadedComment>
  <threadedComment ref="E1" dT="2025-12-05T00:07:06.13" personId="{664E8236-09EB-46DA-9EC7-7A13172C1722}" id="{2CD709E5-6602-44AE-BD30-878E6D568E66}">
    <text>maybe we can remove this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3ED3B-1FC1-41B6-96FD-AB3B357F4708}">
  <sheetPr filterMode="1"/>
  <dimension ref="A1:J36"/>
  <sheetViews>
    <sheetView tabSelected="1" workbookViewId="0">
      <selection activeCell="D4" sqref="D4"/>
    </sheetView>
  </sheetViews>
  <sheetFormatPr defaultColWidth="8.875" defaultRowHeight="13.5" customHeight="1"/>
  <cols>
    <col min="1" max="1" width="13" bestFit="1" customWidth="1"/>
    <col min="2" max="2" width="43.625" customWidth="1"/>
    <col min="3" max="3" width="36" bestFit="1" customWidth="1"/>
    <col min="4" max="4" width="36.125" customWidth="1"/>
    <col min="5" max="5" width="36" customWidth="1"/>
    <col min="6" max="6" width="18.125" bestFit="1" customWidth="1"/>
    <col min="7" max="7" width="24.125" bestFit="1" customWidth="1"/>
  </cols>
  <sheetData>
    <row r="1" spans="1:10" s="9" customFormat="1" ht="69.95">
      <c r="A1" s="14" t="s">
        <v>0</v>
      </c>
      <c r="B1" s="14" t="s">
        <v>1</v>
      </c>
      <c r="C1" s="14" t="s">
        <v>2</v>
      </c>
      <c r="D1" s="15" t="s">
        <v>3</v>
      </c>
      <c r="E1" s="14" t="s">
        <v>4</v>
      </c>
      <c r="F1" s="14" t="s">
        <v>5</v>
      </c>
      <c r="G1" s="16" t="s">
        <v>6</v>
      </c>
      <c r="H1" s="18" t="s">
        <v>7</v>
      </c>
      <c r="I1" s="18" t="s">
        <v>8</v>
      </c>
      <c r="J1" s="9" t="s">
        <v>9</v>
      </c>
    </row>
    <row r="2" spans="1:10" ht="29.1">
      <c r="A2" t="s">
        <v>10</v>
      </c>
      <c r="B2" s="4" t="s">
        <v>11</v>
      </c>
      <c r="C2" s="5" t="s">
        <v>12</v>
      </c>
      <c r="D2" s="3" t="s">
        <v>13</v>
      </c>
      <c r="E2" s="5"/>
      <c r="F2" s="1">
        <v>80</v>
      </c>
      <c r="J2" t="s">
        <v>14</v>
      </c>
    </row>
    <row r="3" spans="1:10" ht="29.1">
      <c r="A3" t="s">
        <v>15</v>
      </c>
      <c r="B3" s="4" t="s">
        <v>11</v>
      </c>
      <c r="C3" t="s">
        <v>16</v>
      </c>
      <c r="D3" s="3" t="s">
        <v>13</v>
      </c>
      <c r="F3" s="1">
        <v>100</v>
      </c>
      <c r="G3" s="1">
        <v>10</v>
      </c>
      <c r="J3" t="s">
        <v>17</v>
      </c>
    </row>
    <row r="4" spans="1:10" ht="29.1">
      <c r="A4" s="3" t="s">
        <v>18</v>
      </c>
      <c r="B4" s="4" t="s">
        <v>11</v>
      </c>
      <c r="C4" t="s">
        <v>19</v>
      </c>
      <c r="D4" s="3" t="s">
        <v>20</v>
      </c>
      <c r="F4" s="1">
        <v>20</v>
      </c>
      <c r="J4" t="s">
        <v>21</v>
      </c>
    </row>
    <row r="5" spans="1:10" ht="29.1">
      <c r="A5" s="3" t="s">
        <v>22</v>
      </c>
      <c r="B5" s="4" t="s">
        <v>11</v>
      </c>
      <c r="C5" t="s">
        <v>23</v>
      </c>
      <c r="D5" s="3" t="s">
        <v>20</v>
      </c>
      <c r="F5" s="1">
        <v>50</v>
      </c>
      <c r="J5" t="s">
        <v>21</v>
      </c>
    </row>
    <row r="6" spans="1:10" ht="29.1">
      <c r="A6" s="3" t="s">
        <v>24</v>
      </c>
      <c r="B6" s="4" t="s">
        <v>11</v>
      </c>
      <c r="C6" t="s">
        <v>25</v>
      </c>
      <c r="D6" s="3" t="s">
        <v>20</v>
      </c>
      <c r="F6" s="1">
        <v>104</v>
      </c>
      <c r="J6" t="s">
        <v>26</v>
      </c>
    </row>
    <row r="7" spans="1:10" ht="29.1">
      <c r="A7" t="s">
        <v>27</v>
      </c>
      <c r="B7" s="4" t="s">
        <v>11</v>
      </c>
      <c r="C7" s="5" t="s">
        <v>28</v>
      </c>
      <c r="D7" s="3" t="s">
        <v>29</v>
      </c>
      <c r="E7" s="5"/>
      <c r="F7" s="1">
        <v>1000</v>
      </c>
      <c r="J7" t="s">
        <v>26</v>
      </c>
    </row>
    <row r="8" spans="1:10" ht="15">
      <c r="A8" t="s">
        <v>30</v>
      </c>
      <c r="B8" t="s">
        <v>31</v>
      </c>
      <c r="C8" s="6" t="s">
        <v>32</v>
      </c>
      <c r="D8" t="s">
        <v>13</v>
      </c>
      <c r="E8" s="6"/>
      <c r="F8" s="1">
        <v>5000</v>
      </c>
      <c r="J8" t="s">
        <v>26</v>
      </c>
    </row>
    <row r="9" spans="1:10" ht="14.1">
      <c r="A9" t="s">
        <v>33</v>
      </c>
      <c r="B9" t="s">
        <v>31</v>
      </c>
      <c r="C9" t="s">
        <v>34</v>
      </c>
      <c r="D9" t="s">
        <v>13</v>
      </c>
      <c r="F9" s="1">
        <v>5000</v>
      </c>
      <c r="J9" t="s">
        <v>35</v>
      </c>
    </row>
    <row r="10" spans="1:10" ht="29.1">
      <c r="A10" t="s">
        <v>36</v>
      </c>
      <c r="B10" t="s">
        <v>31</v>
      </c>
      <c r="C10" s="10" t="s">
        <v>37</v>
      </c>
      <c r="D10" t="s">
        <v>13</v>
      </c>
      <c r="E10" s="10"/>
      <c r="F10" s="1">
        <v>4500</v>
      </c>
      <c r="J10" t="s">
        <v>38</v>
      </c>
    </row>
    <row r="11" spans="1:10" ht="14.45">
      <c r="A11" t="s">
        <v>39</v>
      </c>
      <c r="B11" t="s">
        <v>31</v>
      </c>
      <c r="C11" s="10" t="s">
        <v>40</v>
      </c>
      <c r="D11" t="s">
        <v>20</v>
      </c>
      <c r="E11" s="10"/>
      <c r="F11" s="1">
        <v>150</v>
      </c>
      <c r="J11" t="s">
        <v>41</v>
      </c>
    </row>
    <row r="12" spans="1:10" ht="29.1">
      <c r="A12" t="s">
        <v>42</v>
      </c>
      <c r="B12" t="s">
        <v>31</v>
      </c>
      <c r="C12" s="7" t="s">
        <v>43</v>
      </c>
      <c r="D12" s="5" t="s">
        <v>20</v>
      </c>
      <c r="E12" s="7"/>
      <c r="F12" s="1">
        <v>150</v>
      </c>
      <c r="J12" t="s">
        <v>41</v>
      </c>
    </row>
    <row r="13" spans="1:10" ht="14.1" hidden="1">
      <c r="D13" s="5"/>
    </row>
    <row r="14" spans="1:10" ht="15">
      <c r="B14" t="s">
        <v>44</v>
      </c>
      <c r="C14" s="6" t="s">
        <v>32</v>
      </c>
      <c r="D14" t="s">
        <v>13</v>
      </c>
      <c r="E14" s="6"/>
      <c r="F14" s="1">
        <v>5000</v>
      </c>
      <c r="J14" t="s">
        <v>41</v>
      </c>
    </row>
    <row r="15" spans="1:10" ht="14.1">
      <c r="B15" t="s">
        <v>44</v>
      </c>
      <c r="C15" t="s">
        <v>34</v>
      </c>
      <c r="D15" t="s">
        <v>13</v>
      </c>
      <c r="F15" s="1">
        <v>5000</v>
      </c>
      <c r="J15" t="s">
        <v>45</v>
      </c>
    </row>
    <row r="16" spans="1:10" ht="29.1">
      <c r="B16" t="s">
        <v>44</v>
      </c>
      <c r="C16" s="10" t="s">
        <v>37</v>
      </c>
      <c r="D16" t="s">
        <v>13</v>
      </c>
      <c r="E16" s="10"/>
      <c r="F16" s="1">
        <v>4500</v>
      </c>
      <c r="J16" t="s">
        <v>46</v>
      </c>
    </row>
    <row r="17" spans="2:10" ht="14.45">
      <c r="B17" t="s">
        <v>44</v>
      </c>
      <c r="C17" s="10" t="s">
        <v>40</v>
      </c>
      <c r="D17" t="s">
        <v>20</v>
      </c>
      <c r="E17" s="10"/>
      <c r="F17" s="1">
        <v>150</v>
      </c>
      <c r="J17" t="s">
        <v>46</v>
      </c>
    </row>
    <row r="18" spans="2:10" ht="29.1">
      <c r="B18" t="s">
        <v>44</v>
      </c>
      <c r="C18" s="7" t="s">
        <v>43</v>
      </c>
      <c r="D18" s="5" t="s">
        <v>20</v>
      </c>
      <c r="E18" s="7"/>
      <c r="F18" s="1">
        <v>150</v>
      </c>
      <c r="J18" t="s">
        <v>21</v>
      </c>
    </row>
    <row r="36" spans="4:4" ht="15">
      <c r="D36" s="4"/>
    </row>
  </sheetData>
  <autoFilter ref="A1:G18" xr:uid="{23277D7F-FEEB-4763-B364-04AA243FCA2B}">
    <filterColumn colId="1">
      <filters>
        <filter val="GEM-X Single Immune Profiling Solution v3"/>
        <filter val="KBrand 775 from 10x"/>
        <filter val="Next GEM 5' V2 GEX + Human/Mouse VDJ + Feature Barcode. DUAL INDEXING"/>
      </filters>
    </filterColumn>
  </autoFilter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F6873-EDC7-4BE5-9189-E951DA1318D3}">
  <dimension ref="A1:F9"/>
  <sheetViews>
    <sheetView workbookViewId="0">
      <selection activeCell="F3" sqref="F3"/>
    </sheetView>
  </sheetViews>
  <sheetFormatPr defaultColWidth="8.875" defaultRowHeight="13.5" customHeight="1"/>
  <cols>
    <col min="1" max="1" width="34.375" customWidth="1"/>
    <col min="2" max="2" width="73.375" customWidth="1"/>
    <col min="3" max="3" width="33.625" bestFit="1" customWidth="1"/>
    <col min="4" max="4" width="33.625" customWidth="1"/>
    <col min="5" max="5" width="11.25" customWidth="1"/>
  </cols>
  <sheetData>
    <row r="1" spans="1:6" ht="15">
      <c r="A1" s="11" t="s">
        <v>47</v>
      </c>
      <c r="B1" s="9" t="s">
        <v>48</v>
      </c>
      <c r="C1" s="2" t="s">
        <v>49</v>
      </c>
      <c r="D1" s="17" t="s">
        <v>4</v>
      </c>
      <c r="E1" s="9" t="s">
        <v>50</v>
      </c>
      <c r="F1" t="s">
        <v>9</v>
      </c>
    </row>
    <row r="2" spans="1:6" ht="15">
      <c r="A2" s="12" t="s">
        <v>51</v>
      </c>
      <c r="B2" t="s">
        <v>52</v>
      </c>
      <c r="C2" s="8" t="s">
        <v>53</v>
      </c>
      <c r="D2" s="8"/>
      <c r="E2" s="13">
        <v>4000</v>
      </c>
      <c r="F2" t="s">
        <v>17</v>
      </c>
    </row>
    <row r="3" spans="1:6" ht="15">
      <c r="A3" s="12" t="s">
        <v>51</v>
      </c>
      <c r="B3" t="s">
        <v>52</v>
      </c>
      <c r="C3" s="8" t="s">
        <v>54</v>
      </c>
      <c r="D3" s="8"/>
      <c r="E3" s="13">
        <v>5000</v>
      </c>
      <c r="F3" t="s">
        <v>26</v>
      </c>
    </row>
    <row r="4" spans="1:6" ht="15">
      <c r="A4" s="12" t="s">
        <v>51</v>
      </c>
      <c r="B4" t="s">
        <v>31</v>
      </c>
      <c r="C4" s="8" t="s">
        <v>55</v>
      </c>
      <c r="D4" s="8"/>
      <c r="E4" s="13">
        <v>500</v>
      </c>
      <c r="F4" t="s">
        <v>35</v>
      </c>
    </row>
    <row r="5" spans="1:6" ht="15">
      <c r="A5" s="12" t="s">
        <v>51</v>
      </c>
      <c r="B5" t="s">
        <v>52</v>
      </c>
      <c r="C5" s="8" t="s">
        <v>56</v>
      </c>
      <c r="D5" s="8"/>
      <c r="E5" s="13">
        <v>1500</v>
      </c>
      <c r="F5" t="s">
        <v>41</v>
      </c>
    </row>
    <row r="6" spans="1:6" ht="15">
      <c r="A6" s="12" t="s">
        <v>57</v>
      </c>
      <c r="B6" t="s">
        <v>52</v>
      </c>
      <c r="C6" t="s">
        <v>58</v>
      </c>
      <c r="E6" s="13">
        <v>2500</v>
      </c>
      <c r="F6" t="s">
        <v>38</v>
      </c>
    </row>
    <row r="7" spans="1:6" ht="15">
      <c r="A7" s="12" t="s">
        <v>59</v>
      </c>
      <c r="B7" t="s">
        <v>60</v>
      </c>
      <c r="C7" s="8" t="s">
        <v>61</v>
      </c>
      <c r="D7" s="8"/>
      <c r="E7" s="13">
        <v>5000</v>
      </c>
      <c r="F7" t="s">
        <v>46</v>
      </c>
    </row>
    <row r="8" spans="1:6" ht="14.1">
      <c r="A8" s="1"/>
      <c r="E8" s="1"/>
    </row>
    <row r="9" spans="1:6" ht="14.1">
      <c r="A9" s="1"/>
      <c r="E9" s="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55C99-92A7-4BC5-9E4D-8387E6974F28}">
  <dimension ref="A1:D20"/>
  <sheetViews>
    <sheetView workbookViewId="0">
      <selection activeCell="E15" sqref="E15"/>
    </sheetView>
  </sheetViews>
  <sheetFormatPr defaultColWidth="8.875" defaultRowHeight="13.5" customHeight="1"/>
  <cols>
    <col min="1" max="1" width="19.25" customWidth="1"/>
    <col min="2" max="2" width="20.375" customWidth="1"/>
    <col min="3" max="3" width="20.625" customWidth="1"/>
  </cols>
  <sheetData>
    <row r="1" spans="1:4" ht="14.1">
      <c r="A1" s="9" t="s">
        <v>62</v>
      </c>
      <c r="B1" s="9" t="s">
        <v>63</v>
      </c>
      <c r="C1" s="9" t="s">
        <v>64</v>
      </c>
      <c r="D1" s="18"/>
    </row>
    <row r="2" spans="1:4" ht="14.1">
      <c r="A2" s="5" t="s">
        <v>65</v>
      </c>
      <c r="B2" s="5" t="s">
        <v>66</v>
      </c>
      <c r="C2" s="5">
        <f>'Surcharge Editing Page'!C4</f>
        <v>1.1000000000000001</v>
      </c>
    </row>
    <row r="3" spans="1:4" ht="14.1">
      <c r="A3" s="5" t="s">
        <v>65</v>
      </c>
      <c r="B3" s="5" t="s">
        <v>67</v>
      </c>
      <c r="C3" s="5">
        <f>'Surcharge Editing Page'!D4</f>
        <v>1.3</v>
      </c>
    </row>
    <row r="4" spans="1:4" ht="14.1">
      <c r="A4" t="s">
        <v>68</v>
      </c>
      <c r="B4" s="5" t="s">
        <v>69</v>
      </c>
      <c r="C4" s="5">
        <v>1</v>
      </c>
    </row>
    <row r="5" spans="1:4" ht="14.1">
      <c r="A5" t="s">
        <v>68</v>
      </c>
      <c r="B5" t="s">
        <v>70</v>
      </c>
      <c r="C5">
        <f>'Surcharge Editing Page'!D8*'Config 25-26 Sum'!C4</f>
        <v>1.3</v>
      </c>
    </row>
    <row r="6" spans="1:4" ht="14.1">
      <c r="A6" t="s">
        <v>68</v>
      </c>
      <c r="B6" t="s">
        <v>71</v>
      </c>
      <c r="C6">
        <f>C5*'Surcharge Editing Page'!E8</f>
        <v>1.885</v>
      </c>
    </row>
    <row r="7" spans="1:4" ht="14.1">
      <c r="A7" t="s">
        <v>68</v>
      </c>
      <c r="B7" t="s">
        <v>72</v>
      </c>
      <c r="C7">
        <f>C6*'Surcharge Editing Page'!F8</f>
        <v>2.262</v>
      </c>
    </row>
    <row r="11" spans="1:4" ht="13.5" customHeight="1">
      <c r="A11" s="9"/>
      <c r="B11" s="9"/>
    </row>
    <row r="13" spans="1:4" ht="14.1"/>
    <row r="16" spans="1:4" ht="13.5" customHeight="1">
      <c r="A16" s="19"/>
    </row>
    <row r="17" spans="1:4" ht="13.5" customHeight="1">
      <c r="A17" s="19"/>
    </row>
    <row r="19" spans="1:4" ht="27" customHeight="1">
      <c r="A19" s="18"/>
      <c r="B19" s="18"/>
      <c r="C19" s="18"/>
      <c r="D19" s="18"/>
    </row>
    <row r="20" spans="1:4" ht="13.5" customHeight="1">
      <c r="A20" s="5"/>
      <c r="B20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5A74-4726-489B-BA52-DC430EC611A1}">
  <dimension ref="A1:E19"/>
  <sheetViews>
    <sheetView zoomScale="197" workbookViewId="0">
      <selection activeCell="D3" sqref="D3"/>
    </sheetView>
  </sheetViews>
  <sheetFormatPr defaultRowHeight="14.1"/>
  <cols>
    <col min="1" max="1" width="15" customWidth="1"/>
    <col min="2" max="2" width="17.375" customWidth="1"/>
    <col min="3" max="3" width="15.75" customWidth="1"/>
    <col min="4" max="4" width="15.5" style="33" customWidth="1"/>
    <col min="5" max="5" width="17.5" customWidth="1"/>
  </cols>
  <sheetData>
    <row r="1" spans="1:5" ht="15">
      <c r="A1" s="29" t="s">
        <v>73</v>
      </c>
      <c r="B1" s="30" t="s">
        <v>74</v>
      </c>
      <c r="C1" s="30" t="s">
        <v>75</v>
      </c>
      <c r="D1" s="31" t="s">
        <v>76</v>
      </c>
      <c r="E1" s="9"/>
    </row>
    <row r="2" spans="1:5" ht="15">
      <c r="A2" s="22" t="s">
        <v>58</v>
      </c>
      <c r="B2" s="23" t="s">
        <v>77</v>
      </c>
      <c r="C2" s="23">
        <v>0.15</v>
      </c>
      <c r="D2" s="32">
        <v>45610</v>
      </c>
    </row>
    <row r="3" spans="1:5" ht="15">
      <c r="A3" s="22" t="s">
        <v>58</v>
      </c>
      <c r="B3" s="23" t="s">
        <v>78</v>
      </c>
      <c r="C3" s="23">
        <v>0.2</v>
      </c>
      <c r="D3" s="32">
        <v>46009</v>
      </c>
    </row>
    <row r="4" spans="1:5" ht="15">
      <c r="A4" s="22" t="s">
        <v>79</v>
      </c>
      <c r="B4" s="23" t="s">
        <v>80</v>
      </c>
      <c r="C4" s="23">
        <v>0.18</v>
      </c>
      <c r="D4" s="32">
        <v>46034</v>
      </c>
    </row>
    <row r="5" spans="1:5" ht="15">
      <c r="A5" s="22" t="s">
        <v>79</v>
      </c>
      <c r="B5" s="23" t="s">
        <v>81</v>
      </c>
      <c r="C5" s="23">
        <v>0.3</v>
      </c>
      <c r="D5" s="32">
        <v>46034</v>
      </c>
    </row>
    <row r="6" spans="1:5" ht="15">
      <c r="A6" s="19"/>
    </row>
    <row r="7" spans="1:5" ht="15">
      <c r="A7" s="19"/>
    </row>
    <row r="8" spans="1:5" ht="15">
      <c r="A8" s="19"/>
    </row>
    <row r="9" spans="1:5" ht="15">
      <c r="A9" s="19"/>
    </row>
    <row r="10" spans="1:5" ht="15">
      <c r="A10" s="19"/>
    </row>
    <row r="11" spans="1:5" ht="15">
      <c r="A11" s="19"/>
    </row>
    <row r="12" spans="1:5" ht="15">
      <c r="A12" s="19"/>
    </row>
    <row r="13" spans="1:5" ht="15">
      <c r="A13" s="19"/>
    </row>
    <row r="14" spans="1:5" ht="15">
      <c r="A14" s="19"/>
    </row>
    <row r="15" spans="1:5" ht="15">
      <c r="A15" s="19"/>
    </row>
    <row r="16" spans="1:5" ht="15">
      <c r="A16" s="19"/>
    </row>
    <row r="17" spans="1:1" ht="15">
      <c r="A17" s="19"/>
    </row>
    <row r="18" spans="1:1" ht="15">
      <c r="A18" s="19"/>
    </row>
    <row r="19" spans="1:1" ht="15">
      <c r="A19" s="19"/>
    </row>
  </sheetData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A67B-8F15-4C29-B057-A84A9BFC79C1}">
  <dimension ref="A2:F11"/>
  <sheetViews>
    <sheetView workbookViewId="0">
      <selection activeCell="C17" sqref="C17"/>
    </sheetView>
  </sheetViews>
  <sheetFormatPr defaultRowHeight="14.1"/>
  <cols>
    <col min="1" max="1" width="19.625" customWidth="1"/>
    <col min="2" max="2" width="6.625" customWidth="1"/>
    <col min="3" max="3" width="14" customWidth="1"/>
    <col min="4" max="4" width="15.5" customWidth="1"/>
    <col min="5" max="5" width="11.75" customWidth="1"/>
    <col min="6" max="6" width="12.125" customWidth="1"/>
  </cols>
  <sheetData>
    <row r="2" spans="1:6" ht="26.1">
      <c r="A2" s="25" t="s">
        <v>82</v>
      </c>
      <c r="B2" s="23"/>
      <c r="C2" s="23"/>
      <c r="D2" s="23"/>
      <c r="E2" s="23"/>
      <c r="F2" s="23"/>
    </row>
    <row r="3" spans="1:6" ht="15">
      <c r="A3" s="23"/>
      <c r="B3" s="23"/>
      <c r="C3" s="26" t="s">
        <v>66</v>
      </c>
      <c r="D3" s="26" t="s">
        <v>67</v>
      </c>
      <c r="E3" s="23"/>
      <c r="F3" s="23"/>
    </row>
    <row r="4" spans="1:6" ht="15">
      <c r="A4" s="28" t="s">
        <v>83</v>
      </c>
      <c r="B4" s="23"/>
      <c r="C4" s="23">
        <v>1.1000000000000001</v>
      </c>
      <c r="D4" s="23">
        <v>1.3</v>
      </c>
      <c r="E4" s="23"/>
      <c r="F4" s="23"/>
    </row>
    <row r="5" spans="1:6" ht="15">
      <c r="A5" s="28"/>
      <c r="B5" s="23"/>
      <c r="C5" s="23"/>
      <c r="D5" s="23"/>
      <c r="E5" s="23"/>
      <c r="F5" s="23"/>
    </row>
    <row r="6" spans="1:6" ht="15">
      <c r="A6" s="28"/>
      <c r="B6" s="24"/>
      <c r="C6" s="24"/>
      <c r="D6" s="24"/>
      <c r="E6" s="24"/>
      <c r="F6" s="24"/>
    </row>
    <row r="7" spans="1:6" ht="43.5">
      <c r="A7" s="28"/>
      <c r="B7" s="24"/>
      <c r="C7" s="27" t="s">
        <v>69</v>
      </c>
      <c r="D7" s="27" t="s">
        <v>70</v>
      </c>
      <c r="E7" s="27" t="s">
        <v>71</v>
      </c>
      <c r="F7" s="27" t="s">
        <v>84</v>
      </c>
    </row>
    <row r="8" spans="1:6" ht="15">
      <c r="A8" s="28" t="s">
        <v>85</v>
      </c>
      <c r="B8" s="23"/>
      <c r="C8" s="23">
        <v>1</v>
      </c>
      <c r="D8" s="23">
        <v>1.3</v>
      </c>
      <c r="E8" s="23">
        <v>1.45</v>
      </c>
      <c r="F8" s="23">
        <v>1.2</v>
      </c>
    </row>
    <row r="9" spans="1:6">
      <c r="A9" s="20"/>
    </row>
    <row r="10" spans="1:6" ht="15">
      <c r="A10" s="20"/>
      <c r="D10" s="21"/>
    </row>
    <row r="11" spans="1:6">
      <c r="A11" s="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2383067D6EEE4E8ACEA30962E5DE00" ma:contentTypeVersion="22" ma:contentTypeDescription="Create a new document." ma:contentTypeScope="" ma:versionID="0ccd53f3dd568480f5d3153c07534dba">
  <xsd:schema xmlns:xsd="http://www.w3.org/2001/XMLSchema" xmlns:xs="http://www.w3.org/2001/XMLSchema" xmlns:p="http://schemas.microsoft.com/office/2006/metadata/properties" xmlns:ns2="17163bdb-27fe-447c-a7bb-3ea6416b971c" xmlns:ns3="451c1f4f-a267-451c-a3af-09c2fa4691f1" targetNamespace="http://schemas.microsoft.com/office/2006/metadata/properties" ma:root="true" ma:fieldsID="0211ec30299ddd16592819eab657260f" ns2:_="" ns3:_="">
    <xsd:import namespace="17163bdb-27fe-447c-a7bb-3ea6416b971c"/>
    <xsd:import namespace="451c1f4f-a267-451c-a3af-09c2fa4691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163bdb-27fe-447c-a7bb-3ea6416b97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b1e4c0ed-bf32-4425-b6c9-45ce390d60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7" nillable="true" ma:displayName="Notes" ma:format="Dropdown" ma:internalName="Note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1c1f4f-a267-451c-a3af-09c2fa4691f1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1dc1a2b-6cb4-4564-97ff-04e36c7c0068}" ma:internalName="TaxCatchAll" ma:showField="CatchAllData" ma:web="451c1f4f-a267-451c-a3af-09c2fa4691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7163bdb-27fe-447c-a7bb-3ea6416b971c">
      <Terms xmlns="http://schemas.microsoft.com/office/infopath/2007/PartnerControls"/>
    </lcf76f155ced4ddcb4097134ff3c332f>
    <TaxCatchAll xmlns="451c1f4f-a267-451c-a3af-09c2fa4691f1" xsi:nil="true"/>
    <Notes xmlns="17163bdb-27fe-447c-a7bb-3ea6416b971c" xsi:nil="true"/>
  </documentManagement>
</p:properties>
</file>

<file path=customXml/itemProps1.xml><?xml version="1.0" encoding="utf-8"?>
<ds:datastoreItem xmlns:ds="http://schemas.openxmlformats.org/officeDocument/2006/customXml" ds:itemID="{8371111F-EFF7-47C6-8985-0F43994E666C}"/>
</file>

<file path=customXml/itemProps2.xml><?xml version="1.0" encoding="utf-8"?>
<ds:datastoreItem xmlns:ds="http://schemas.openxmlformats.org/officeDocument/2006/customXml" ds:itemID="{D92D0016-15CA-409B-AD9C-8027C631137F}"/>
</file>

<file path=customXml/itemProps3.xml><?xml version="1.0" encoding="utf-8"?>
<ds:datastoreItem xmlns:ds="http://schemas.openxmlformats.org/officeDocument/2006/customXml" ds:itemID="{343B393C-CAC2-4750-ACA8-00CCC9C377F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Changyuan Ni</dc:creator>
  <cp:keywords/>
  <dc:description/>
  <cp:lastModifiedBy/>
  <cp:revision/>
  <dcterms:created xsi:type="dcterms:W3CDTF">2024-09-06T00:51:19Z</dcterms:created>
  <dcterms:modified xsi:type="dcterms:W3CDTF">2025-12-20T06:27:18Z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0x0101009F2383067D6EEE4E8ACEA30962E5DE00</vt:lpwstr>
  </property>
  <property fmtid="{D5CDD505-2E9C-101B-9397-08002B2CF9AE}" pid="3" name="MediaServiceImageTags">
    <vt:lpwstr/>
  </property>
</Properties>
</file>