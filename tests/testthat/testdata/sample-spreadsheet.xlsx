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ysche\Documents\Work\WEHI\Tests\"/>
    </mc:Choice>
  </mc:AlternateContent>
  <xr:revisionPtr revIDLastSave="0" documentId="13_ncr:1_{D4D8DE47-386E-4D6B-B277-49490C6473A7}" xr6:coauthVersionLast="47" xr6:coauthVersionMax="47" xr10:uidLastSave="{00000000-0000-0000-0000-000000000000}"/>
  <bookViews>
    <workbookView xWindow="-110" yWindow="-110" windowWidth="19420" windowHeight="11500" activeTab="3" xr2:uid="{44EEA75D-67FD-4678-9465-A167448191E0}"/>
  </bookViews>
  <sheets>
    <sheet name="Combined Price List" sheetId="8" r:id="rId1"/>
    <sheet name="Processing Charges" sheetId="9" r:id="rId2"/>
    <sheet name="Config" sheetId="4" r:id="rId3"/>
    <sheet name="Discount" sheetId="10" r:id="rId4"/>
    <sheet name="Surcharge Editing Page" sheetId="11" r:id="rId5"/>
    <sheet name="Info" sheetId="12" r:id="rId6"/>
  </sheets>
  <definedNames>
    <definedName name="_xlnm._FilterDatabase" localSheetId="0" hidden="1">'Combined Price List'!$A$1:$G$17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7" i="4" l="1"/>
  <c r="C6" i="4"/>
  <c r="C5" i="4"/>
  <c r="C3" i="4"/>
  <c r="C2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tc={95C4827B-5123-4C4C-BCC5-1F9E12EC2F94}</author>
    <author>tc={6B60686D-BC4D-4978-998C-B0CDB58BDE12}</author>
  </authors>
  <commentList>
    <comment ref="B1" authorId="0" shapeId="0" xr:uid="{95C4827B-5123-4C4C-BCC5-1F9E12EC2F94}">
      <text>
        <t>[Threaded comment]
Your version of Excel allows you to read this threaded comment; however, any edits to it will get removed if the file is opened in a newer version of Excel. Learn more: https://go.microsoft.com/fwlink/?linkid=870924
Comment:
    Can we remove this column?
Reply:
    no</t>
      </text>
    </comment>
    <comment ref="D1" authorId="1" shapeId="0" xr:uid="{6B60686D-BC4D-4978-998C-B0CDB58BDE12}">
      <text>
        <t>[Threaded comment]
Your version of Excel allows you to read this threaded comment; however, any edits to it will get removed if the file is opened in a newer version of Excel. Learn more: https://go.microsoft.com/fwlink/?linkid=870924
Comment:
    Can we remove this column?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tc={FDC41442-EA4A-44FE-95C1-25AC5114304F}</author>
    <author>tc={B80C5D08-F490-4C94-8BE6-CED8706A0349}</author>
    <author>tc={2CD709E5-6602-44AE-BD30-878E6D568E66}</author>
  </authors>
  <commentList>
    <comment ref="A1" authorId="0" shapeId="0" xr:uid="{FDC41442-EA4A-44FE-95C1-25AC5114304F}">
      <text>
        <t>[Threaded comment]
Your version of Excel allows you to read this threaded comment; however, any edits to it will get removed if the file is opened in a newer version of Excel. Learn more: https://go.microsoft.com/fwlink/?linkid=870924
Comment:
    should we need this or not?
Reply:
    - Group A are reagents for application A
- Group C is a different application
- Group D is a service fee
Generally, the quote is divided into reagents and service costs.</t>
      </text>
    </comment>
    <comment ref="D1" authorId="1" shapeId="0" xr:uid="{B80C5D08-F490-4C94-8BE6-CED8706A0349}">
      <text>
        <t>[Threaded comment]
Your version of Excel allows you to read this threaded comment; however, any edits to it will get removed if the file is opened in a newer version of Excel. Learn more: https://go.microsoft.com/fwlink/?linkid=870924
Comment:
    maybe we can remove this</t>
      </text>
    </comment>
    <comment ref="E1" authorId="2" shapeId="0" xr:uid="{2CD709E5-6602-44AE-BD30-878E6D568E66}">
      <text>
        <t>[Threaded comment]
Your version of Excel allows you to read this threaded comment; however, any edits to it will get removed if the file is opened in a newer version of Excel. Learn more: https://go.microsoft.com/fwlink/?linkid=870924
Comment:
    maybe we can remove this</t>
      </text>
    </comment>
  </commentList>
</comments>
</file>

<file path=xl/sharedStrings.xml><?xml version="1.0" encoding="utf-8"?>
<sst xmlns="http://schemas.openxmlformats.org/spreadsheetml/2006/main" count="266" uniqueCount="127">
  <si>
    <t>Product Code</t>
  </si>
  <si>
    <t>Item</t>
  </si>
  <si>
    <t>Item Category</t>
  </si>
  <si>
    <t>Description</t>
  </si>
  <si>
    <t>Per Reaction Cost ($)</t>
  </si>
  <si>
    <t>Additional reagent Cost (not incl. in kit)</t>
  </si>
  <si>
    <t>Constant Cost</t>
  </si>
  <si>
    <t>10X-1000263</t>
  </si>
  <si>
    <t>Next GEM 5' V2 GEX + Human/Mouse VDJ + Feature Barcode. DUAL INDEXING</t>
  </si>
  <si>
    <t>Chromium Next GEM Single Cell 5' Kit v2, 16 rxns</t>
  </si>
  <si>
    <t>Library &amp; Gel Bead Kit</t>
  </si>
  <si>
    <t>10X-1000265</t>
  </si>
  <si>
    <t>Chromium Next GEM Single Cell 5' Kit v2, 4 rxns</t>
  </si>
  <si>
    <t>10X-1000190</t>
  </si>
  <si>
    <t>5' Feature Barcode Kit, 16 rxns</t>
  </si>
  <si>
    <t>Additional Library Kits</t>
  </si>
  <si>
    <t>10X-1000541</t>
  </si>
  <si>
    <t>5' CRISPR Kit, 16 rxns</t>
  </si>
  <si>
    <t>10X-1000451</t>
  </si>
  <si>
    <t>Chromium Single Cell</t>
  </si>
  <si>
    <t>10X-1234572</t>
  </si>
  <si>
    <t>Chromium Single Cell Mouse TCR Amplification Kit, 16 rxns</t>
  </si>
  <si>
    <t>V(D)J Enrichment Kit</t>
  </si>
  <si>
    <t>10X-1000695</t>
  </si>
  <si>
    <t>GEM-X Single Immune Profiling Solution v3</t>
  </si>
  <si>
    <t>Chromium GEM-X Single Cell 5' Kit v3, 4 rxns</t>
  </si>
  <si>
    <t>10X-1000699</t>
  </si>
  <si>
    <t>Chromium GEM-X Single Cell 5' Kit v3, 16 rxns</t>
  </si>
  <si>
    <t>10X-1000712</t>
  </si>
  <si>
    <t>Chromium GEM-X Single Cell 5' Kit v3, 48 rxns</t>
  </si>
  <si>
    <t>10X-1000694</t>
  </si>
  <si>
    <t>Library Construction Kit C, 16 rxns</t>
  </si>
  <si>
    <t>10X-1000703</t>
  </si>
  <si>
    <t>Chromium GEM-X Single Cell 5’ Feature Barcode Kit v3, 16 rxns</t>
  </si>
  <si>
    <t>KBrand 775 from 10x</t>
  </si>
  <si>
    <t>Group</t>
  </si>
  <si>
    <t>Service</t>
  </si>
  <si>
    <t>Base Price</t>
  </si>
  <si>
    <t>Group A (Core Reagents)</t>
  </si>
  <si>
    <t>Next GEM 5' V2 GEX + Human/Mouse VDJ + Feature Barcode. DUAL INDEXING;KBrand 775 from 10x</t>
  </si>
  <si>
    <t>3'GEX / 5'GEX</t>
  </si>
  <si>
    <t>3'GEX-HT /5'GEX-HT</t>
  </si>
  <si>
    <t>BCR / TCR</t>
  </si>
  <si>
    <t>TotalSeq Panel titration (&lt;10 Abs)</t>
  </si>
  <si>
    <t>Group C (Reagents for a different application)</t>
  </si>
  <si>
    <t>Xenium</t>
  </si>
  <si>
    <t>Group D (Service Fee)</t>
  </si>
  <si>
    <t>ALL_BRANDS</t>
  </si>
  <si>
    <t>Bioinformatics ANALYSIS  (1 week)</t>
  </si>
  <si>
    <t>Surcharge Type</t>
  </si>
  <si>
    <t>Surcharge Label</t>
  </si>
  <si>
    <t>Surcharge Amount</t>
  </si>
  <si>
    <t>PRICE_LIST</t>
  </si>
  <si>
    <t>Internal</t>
  </si>
  <si>
    <t>External</t>
  </si>
  <si>
    <t>PROCESSING</t>
  </si>
  <si>
    <t>Internal PRJ</t>
  </si>
  <si>
    <t>Ext. Collaborative Non-PRJ</t>
  </si>
  <si>
    <t>Ext. RSA Non-PRJ</t>
  </si>
  <si>
    <t>Commercial Non-PRJ</t>
  </si>
  <si>
    <t>Discount Supplier</t>
  </si>
  <si>
    <t>Discount Label</t>
  </si>
  <si>
    <t>Discount Amount</t>
  </si>
  <si>
    <t>End Date</t>
  </si>
  <si>
    <t>Single-Cell Discount</t>
  </si>
  <si>
    <t>Spatial Discount</t>
  </si>
  <si>
    <t xml:space="preserve">GEM-X </t>
  </si>
  <si>
    <t>Gem-X1 Discount</t>
  </si>
  <si>
    <t>Gem-X2 Discount</t>
  </si>
  <si>
    <t>Surcharges</t>
  </si>
  <si>
    <t>Consumables</t>
  </si>
  <si>
    <t>Ext. Commercial Non-PRJ</t>
  </si>
  <si>
    <t>Processing</t>
  </si>
  <si>
    <t>Protocol</t>
  </si>
  <si>
    <t>Single Cell</t>
  </si>
  <si>
    <t>MiniBulk</t>
  </si>
  <si>
    <t>Spatial Omics</t>
  </si>
  <si>
    <t>Brand</t>
  </si>
  <si>
    <t>Application</t>
  </si>
  <si>
    <t>ALL_APPLICATIONS</t>
  </si>
  <si>
    <t>MB PRM-Seq</t>
  </si>
  <si>
    <t>Multiome</t>
  </si>
  <si>
    <t>ALL_PROTOCOLS</t>
  </si>
  <si>
    <t>5' Gene Expression;FLEX</t>
  </si>
  <si>
    <t>scATACseq;3' Gene Expression</t>
  </si>
  <si>
    <t>Visium v1;Visium HD</t>
  </si>
  <si>
    <t>Visium HD;Visium 3' HD;Xenium</t>
  </si>
  <si>
    <t>Merscope</t>
  </si>
  <si>
    <t>3' Gene Expression;scPRM-Seq</t>
  </si>
  <si>
    <t>Discount Type</t>
  </si>
  <si>
    <t>Percentage</t>
  </si>
  <si>
    <t>Gem-X3 Discount</t>
  </si>
  <si>
    <t>Amount</t>
  </si>
  <si>
    <t>Kbrand</t>
  </si>
  <si>
    <t>K-1 Discount</t>
  </si>
  <si>
    <t>Please use the "Surcharge editing page" for all surcharge updates. To ensure the accuracy of system calculations, please avoid modifying this Config page directly. Thank you for your cooperation!</t>
  </si>
  <si>
    <t>Details</t>
  </si>
  <si>
    <t>Version</t>
  </si>
  <si>
    <t>v0.6</t>
  </si>
  <si>
    <t>Last Updated</t>
  </si>
  <si>
    <t>GitHub Repo</t>
  </si>
  <si>
    <t>https://github.com/yiliyayaya/genomics-invoicing-25-26Summer-Test</t>
  </si>
  <si>
    <t>Project Name</t>
  </si>
  <si>
    <t>Genomics Invoicing Project (25-26 Summer)</t>
  </si>
  <si>
    <t>This master spreadsheet stores the key data used in the Shiny application</t>
  </si>
  <si>
    <t>per capture</t>
  </si>
  <si>
    <t>per batch</t>
  </si>
  <si>
    <t>per consumable</t>
  </si>
  <si>
    <t>NULL</t>
  </si>
  <si>
    <t>10X-1000821</t>
  </si>
  <si>
    <t>GEM-X Single Cell 3' GEX v4 + Feature Barcode</t>
  </si>
  <si>
    <t>Chromium GEM-X Single Cell 3' Kit v4, 16 rxns</t>
  </si>
  <si>
    <t>3' Gene Exp</t>
  </si>
  <si>
    <t>10X-1000825</t>
  </si>
  <si>
    <t>3' Targeted Hybridization Kit, 16 rxns</t>
  </si>
  <si>
    <t>10X-1200450</t>
  </si>
  <si>
    <t>Next GEM 5' V2 GEX + Human TCR</t>
  </si>
  <si>
    <t>Chromium Single Cell Human TCR Amplification Kit, 16 rxns</t>
  </si>
  <si>
    <t>10X-1000910</t>
  </si>
  <si>
    <t>Chromium GEM-X Dual Index Kit TT Set A, 96 rxns</t>
  </si>
  <si>
    <t>Library Construction Kit D, 16 rxns</t>
  </si>
  <si>
    <t>10X-1000542</t>
  </si>
  <si>
    <t>Next GEM 5' V2 GEX + Multiome</t>
  </si>
  <si>
    <t>5' ATAC Kit, 16 rxns</t>
  </si>
  <si>
    <t>Visium HD;V1</t>
  </si>
  <si>
    <t>KBrand 775 RandomTest 10x</t>
  </si>
  <si>
    <t>per service run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</si>
</sst>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$&quot;#,##0.00_);[Red]\(&quot;$&quot;#,##0.00\)"/>
    <numFmt numFmtId="164" formatCode="[$$-C09]#,##0.00"/>
    <numFmt numFmtId="165" formatCode="yyyy\-mm\-dd;@"/>
  </numFmts>
  <fonts count="29" x14ac:knownFonts="1">
    <font>
      <sz val="11"/>
      <color theme="1"/>
      <name val="Aptos Narrow"/>
      <family val="2"/>
      <charset val="134"/>
      <scheme val="minor"/>
    </font>
    <font>
      <sz val="8"/>
      <name val="Aptos Narrow"/>
      <family val="2"/>
      <charset val="134"/>
      <scheme val="minor"/>
    </font>
    <font>
      <b/>
      <sz val="11"/>
      <color indexed="8"/>
      <name val="Aptos Narrow"/>
      <family val="2"/>
      <scheme val="minor"/>
    </font>
    <font>
      <sz val="11"/>
      <color rgb="FF242424"/>
      <name val="Aptos Narrow"/>
    </font>
    <font>
      <b/>
      <sz val="11"/>
      <color rgb="FF000000"/>
      <name val="Aptos Narrow"/>
    </font>
    <font>
      <sz val="11"/>
      <color rgb="FF000000"/>
      <name val="Aptos Narrow"/>
    </font>
    <font>
      <b/>
      <sz val="11"/>
      <color theme="1"/>
      <name val="Aptos Narrow"/>
      <family val="2"/>
      <charset val="134"/>
      <scheme val="minor"/>
    </font>
    <font>
      <sz val="11"/>
      <color rgb="FF000000"/>
      <name val="Aptos Narrow"/>
      <family val="2"/>
      <charset val="134"/>
    </font>
    <font>
      <b/>
      <sz val="11"/>
      <color indexed="8"/>
      <name val="Aptos Narrow"/>
      <family val="2"/>
      <charset val="134"/>
      <scheme val="minor"/>
    </font>
    <font>
      <sz val="11"/>
      <color rgb="FF262626"/>
      <name val="Aptos Display"/>
      <scheme val="major"/>
    </font>
    <font>
      <i/>
      <sz val="11"/>
      <color theme="1"/>
      <name val="Aptos Narrow"/>
      <family val="2"/>
      <charset val="134"/>
      <scheme val="minor"/>
    </font>
    <font>
      <i/>
      <sz val="11"/>
      <color rgb="FF262626"/>
      <name val="Aptos Display"/>
      <family val="2"/>
      <scheme val="major"/>
    </font>
    <font>
      <sz val="11"/>
      <color rgb="FF262626"/>
      <name val="Aptos Display"/>
      <family val="2"/>
      <scheme val="major"/>
    </font>
    <font>
      <sz val="11"/>
      <color theme="1"/>
      <name val="Aptos Display"/>
      <family val="2"/>
      <scheme val="major"/>
    </font>
    <font>
      <b/>
      <sz val="20"/>
      <color theme="1"/>
      <name val="Aptos Display"/>
      <family val="2"/>
      <scheme val="major"/>
    </font>
    <font>
      <i/>
      <u/>
      <sz val="11"/>
      <color theme="1"/>
      <name val="Aptos Display"/>
      <family val="2"/>
      <scheme val="major"/>
    </font>
    <font>
      <b/>
      <i/>
      <sz val="11"/>
      <color theme="1"/>
      <name val="Aptos Display"/>
      <family val="2"/>
      <scheme val="major"/>
    </font>
    <font>
      <b/>
      <sz val="10"/>
      <color theme="1"/>
      <name val="Aptos Display"/>
      <family val="2"/>
      <scheme val="major"/>
    </font>
    <font>
      <b/>
      <sz val="11"/>
      <color theme="1"/>
      <name val="Aptos Display"/>
      <family val="2"/>
      <scheme val="major"/>
    </font>
    <font>
      <sz val="8"/>
      <color theme="1"/>
      <name val="Arial"/>
      <family val="2"/>
    </font>
    <font>
      <sz val="9"/>
      <color theme="1"/>
      <name val="Calibri"/>
      <family val="2"/>
    </font>
    <font>
      <b/>
      <sz val="11"/>
      <color theme="1"/>
      <name val="Aptos Narrow"/>
      <scheme val="minor"/>
    </font>
    <font>
      <u/>
      <sz val="11"/>
      <color theme="10"/>
      <name val="Aptos Narrow"/>
      <family val="2"/>
      <charset val="134"/>
      <scheme val="minor"/>
    </font>
    <font>
      <sz val="11"/>
      <color theme="1"/>
      <name val="Aptos Narrow"/>
      <scheme val="minor"/>
    </font>
    <font>
      <sz val="11"/>
      <color rgb="FF1F1F1F"/>
      <name val="Aptos Narrow"/>
      <family val="2"/>
    </font>
    <font>
      <sz val="11"/>
      <color theme="1"/>
      <name val="Aptos Narrow"/>
      <family val="2"/>
    </font>
    <font>
      <sz val="11"/>
      <color rgb="FF000000"/>
      <name val="Aptos Narrow"/>
      <family val="2"/>
    </font>
    <font>
      <sz val="11"/>
      <name val="Aptos Narrow"/>
      <family val="2"/>
    </font>
    <font>
      <sz val="11"/>
      <color rgb="FF242424"/>
      <name val="Aptos Narrow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2" fillId="0" borderId="0" applyNumberFormat="0" applyFill="0" applyBorder="0" applyAlignment="0" applyProtection="0"/>
  </cellStyleXfs>
  <cellXfs count="54">
    <xf numFmtId="0" fontId="0" fillId="0" borderId="0" xfId="0"/>
    <xf numFmtId="164" fontId="0" fillId="0" borderId="0" xfId="0" applyNumberFormat="1"/>
    <xf numFmtId="0" fontId="2" fillId="0" borderId="0" xfId="0" applyFont="1"/>
    <xf numFmtId="0" fontId="3" fillId="0" borderId="0" xfId="0" applyFont="1" applyAlignment="1">
      <alignment wrapText="1"/>
    </xf>
    <xf numFmtId="0" fontId="0" fillId="0" borderId="0" xfId="0" applyAlignment="1">
      <alignment wrapText="1"/>
    </xf>
    <xf numFmtId="0" fontId="0" fillId="0" borderId="0" xfId="0" applyAlignment="1">
      <alignment horizontal="right"/>
    </xf>
    <xf numFmtId="0" fontId="6" fillId="0" borderId="0" xfId="0" applyFont="1"/>
    <xf numFmtId="0" fontId="4" fillId="0" borderId="0" xfId="0" applyFont="1"/>
    <xf numFmtId="0" fontId="5" fillId="0" borderId="0" xfId="0" applyFont="1"/>
    <xf numFmtId="8" fontId="7" fillId="0" borderId="0" xfId="0" applyNumberFormat="1" applyFont="1"/>
    <xf numFmtId="0" fontId="6" fillId="0" borderId="0" xfId="0" applyFont="1" applyAlignment="1">
      <alignment vertical="center"/>
    </xf>
    <xf numFmtId="0" fontId="6" fillId="0" borderId="0" xfId="0" applyFont="1" applyAlignment="1">
      <alignment vertical="center" wrapText="1"/>
    </xf>
    <xf numFmtId="0" fontId="8" fillId="0" borderId="0" xfId="0" applyFont="1"/>
    <xf numFmtId="0" fontId="6" fillId="0" borderId="0" xfId="0" applyFont="1" applyAlignment="1">
      <alignment wrapText="1"/>
    </xf>
    <xf numFmtId="0" fontId="9" fillId="0" borderId="0" xfId="0" applyFont="1" applyAlignment="1">
      <alignment wrapText="1"/>
    </xf>
    <xf numFmtId="0" fontId="10" fillId="0" borderId="0" xfId="0" applyFont="1"/>
    <xf numFmtId="0" fontId="11" fillId="0" borderId="0" xfId="0" applyFont="1" applyAlignment="1">
      <alignment wrapText="1"/>
    </xf>
    <xf numFmtId="0" fontId="12" fillId="0" borderId="0" xfId="0" applyFont="1" applyAlignment="1">
      <alignment wrapText="1"/>
    </xf>
    <xf numFmtId="0" fontId="13" fillId="0" borderId="0" xfId="0" applyFont="1"/>
    <xf numFmtId="0" fontId="13" fillId="0" borderId="0" xfId="0" applyFont="1" applyAlignment="1">
      <alignment wrapText="1"/>
    </xf>
    <xf numFmtId="0" fontId="14" fillId="0" borderId="0" xfId="0" applyFont="1"/>
    <xf numFmtId="0" fontId="15" fillId="0" borderId="0" xfId="0" applyFont="1"/>
    <xf numFmtId="0" fontId="15" fillId="0" borderId="0" xfId="0" applyFont="1" applyAlignment="1">
      <alignment wrapText="1"/>
    </xf>
    <xf numFmtId="0" fontId="16" fillId="0" borderId="0" xfId="0" applyFont="1"/>
    <xf numFmtId="0" fontId="17" fillId="0" borderId="0" xfId="0" applyFont="1"/>
    <xf numFmtId="0" fontId="18" fillId="0" borderId="0" xfId="0" applyFont="1"/>
    <xf numFmtId="165" fontId="18" fillId="0" borderId="0" xfId="0" applyNumberFormat="1" applyFont="1"/>
    <xf numFmtId="165" fontId="13" fillId="0" borderId="0" xfId="0" applyNumberFormat="1" applyFont="1"/>
    <xf numFmtId="165" fontId="0" fillId="0" borderId="0" xfId="0" applyNumberFormat="1"/>
    <xf numFmtId="0" fontId="21" fillId="0" borderId="0" xfId="0" applyFont="1"/>
    <xf numFmtId="0" fontId="0" fillId="0" borderId="0" xfId="0" applyAlignment="1">
      <alignment horizontal="left" vertical="center"/>
    </xf>
    <xf numFmtId="14" fontId="0" fillId="0" borderId="0" xfId="0" applyNumberFormat="1" applyAlignment="1">
      <alignment horizontal="left" vertical="center"/>
    </xf>
    <xf numFmtId="0" fontId="22" fillId="0" borderId="0" xfId="1" applyAlignment="1">
      <alignment horizontal="left" vertical="center"/>
    </xf>
    <xf numFmtId="0" fontId="23" fillId="0" borderId="0" xfId="0" applyFont="1"/>
    <xf numFmtId="0" fontId="23" fillId="0" borderId="0" xfId="0" applyFont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0" xfId="0" applyAlignment="1">
      <alignment horizontal="left" vertical="top" wrapText="1"/>
    </xf>
    <xf numFmtId="0" fontId="20" fillId="2" borderId="0" xfId="0" applyFont="1" applyFill="1" applyAlignment="1">
      <alignment horizontal="left" vertical="center" wrapText="1"/>
    </xf>
    <xf numFmtId="0" fontId="19" fillId="2" borderId="0" xfId="0" applyFont="1" applyFill="1" applyAlignment="1">
      <alignment horizontal="left" vertical="center" wrapText="1"/>
    </xf>
    <xf numFmtId="2" fontId="6" fillId="0" borderId="0" xfId="0" applyNumberFormat="1" applyFont="1" applyAlignment="1">
      <alignment horizontal="center" wrapText="1"/>
    </xf>
    <xf numFmtId="0" fontId="24" fillId="0" borderId="0" xfId="0" applyFont="1" applyBorder="1" applyAlignment="1">
      <alignment horizontal="left" vertical="top" wrapText="1" readingOrder="1"/>
    </xf>
    <xf numFmtId="0" fontId="25" fillId="0" borderId="0" xfId="0" applyFont="1"/>
    <xf numFmtId="0" fontId="26" fillId="0" borderId="0" xfId="0" applyFont="1"/>
    <xf numFmtId="0" fontId="25" fillId="0" borderId="0" xfId="0" applyFont="1" applyAlignment="1">
      <alignment wrapText="1"/>
    </xf>
    <xf numFmtId="0" fontId="27" fillId="0" borderId="0" xfId="0" applyFont="1" applyAlignment="1">
      <alignment horizontal="left" vertical="top" wrapText="1"/>
    </xf>
    <xf numFmtId="0" fontId="26" fillId="0" borderId="0" xfId="0" applyFont="1" applyAlignment="1">
      <alignment wrapText="1"/>
    </xf>
    <xf numFmtId="0" fontId="28" fillId="0" borderId="0" xfId="0" applyFont="1" applyAlignment="1">
      <alignment wrapText="1"/>
    </xf>
    <xf numFmtId="0" fontId="28" fillId="0" borderId="0" xfId="0" applyFont="1"/>
    <xf numFmtId="164" fontId="25" fillId="0" borderId="0" xfId="0" applyNumberFormat="1" applyFont="1" applyAlignment="1">
      <alignment horizontal="right"/>
    </xf>
    <xf numFmtId="8" fontId="24" fillId="0" borderId="0" xfId="0" applyNumberFormat="1" applyFont="1" applyBorder="1" applyAlignment="1">
      <alignment horizontal="right" vertical="top" wrapText="1" readingOrder="1"/>
    </xf>
    <xf numFmtId="2" fontId="25" fillId="0" borderId="0" xfId="0" applyNumberFormat="1" applyFont="1" applyAlignment="1">
      <alignment horizontal="right"/>
    </xf>
    <xf numFmtId="2" fontId="24" fillId="0" borderId="0" xfId="0" applyNumberFormat="1" applyFont="1" applyBorder="1" applyAlignment="1">
      <alignment horizontal="right" vertical="top" wrapText="1" readingOrder="1"/>
    </xf>
    <xf numFmtId="2" fontId="0" fillId="0" borderId="0" xfId="0" applyNumberFormat="1" applyAlignment="1">
      <alignment horizontal="right"/>
    </xf>
    <xf numFmtId="0" fontId="6" fillId="0" borderId="0" xfId="0" applyFont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Relationship Id="rId14" Type="http://schemas.openxmlformats.org/officeDocument/2006/relationships/customXml" Target="../customXml/item3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Yixuan ZHOU" id="{664E8236-09EB-46DA-9EC7-7A13172C1722}" userId="S::yzhou3993_student.unimelb.edu.au#ext#@wehieduau.onmicrosoft.com::f8f17cf8-cd78-4e99-a65f-3070210c10b1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1" dT="2025-12-03T06:56:06.01" personId="{664E8236-09EB-46DA-9EC7-7A13172C1722}" id="{95C4827B-5123-4C4C-BCC5-1F9E12EC2F94}">
    <text>Can we remove this column?</text>
  </threadedComment>
  <threadedComment ref="B1" dT="2025-12-05T00:53:02.67" personId="{664E8236-09EB-46DA-9EC7-7A13172C1722}" id="{92D8A7A8-C982-4CEC-B7C3-88B9BBB8DB31}" parentId="{95C4827B-5123-4C4C-BCC5-1F9E12EC2F94}">
    <text>no</text>
  </threadedComment>
  <threadedComment ref="D1" dT="2025-12-03T06:55:45.56" personId="{664E8236-09EB-46DA-9EC7-7A13172C1722}" id="{6B60686D-BC4D-4978-998C-B0CDB58BDE12}">
    <text>Can we remove this column?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A1" dT="2025-12-01T03:32:27.31" personId="{664E8236-09EB-46DA-9EC7-7A13172C1722}" id="{FDC41442-EA4A-44FE-95C1-25AC5114304F}">
    <text>should we need this or not?</text>
  </threadedComment>
  <threadedComment ref="A1" dT="2025-12-04T02:03:53.72" personId="{664E8236-09EB-46DA-9EC7-7A13172C1722}" id="{442D3DD2-61A3-494F-AAB4-3DF5A90F24C3}" parentId="{FDC41442-EA4A-44FE-95C1-25AC5114304F}">
    <text>- Group A are reagents for application A
- Group C is a different application
- Group D is a service fee
Generally, the quote is divided into reagents and service costs.</text>
  </threadedComment>
  <threadedComment ref="D1" dT="2025-12-05T00:06:50.44" personId="{664E8236-09EB-46DA-9EC7-7A13172C1722}" id="{B80C5D08-F490-4C94-8BE6-CED8706A0349}">
    <text>maybe we can remove this</text>
  </threadedComment>
  <threadedComment ref="E1" dT="2025-12-05T00:07:06.13" personId="{664E8236-09EB-46DA-9EC7-7A13172C1722}" id="{2CD709E5-6602-44AE-BD30-878E6D568E66}">
    <text>maybe we can remove this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hyperlink" Target="https://github.com/yiliyayaya/genomics-invoicing-25-26Summer-Tes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63ED3B-1FC1-41B6-96FD-AB3B357F4708}">
  <sheetPr filterMode="1"/>
  <dimension ref="A1:K36"/>
  <sheetViews>
    <sheetView topLeftCell="A5" zoomScale="71" zoomScaleNormal="71" workbookViewId="0">
      <selection activeCell="E1" sqref="E1"/>
    </sheetView>
  </sheetViews>
  <sheetFormatPr defaultColWidth="8.81640625" defaultRowHeight="13.5" customHeight="1" x14ac:dyDescent="0.25"/>
  <cols>
    <col min="1" max="1" width="17.453125" customWidth="1"/>
    <col min="2" max="2" width="43.6328125" customWidth="1"/>
    <col min="3" max="3" width="36" bestFit="1" customWidth="1"/>
    <col min="4" max="4" width="22.6328125" customWidth="1"/>
    <col min="5" max="5" width="16.453125" customWidth="1"/>
    <col min="6" max="6" width="18.1796875" style="5" bestFit="1" customWidth="1"/>
    <col min="7" max="7" width="24.1796875" style="52" bestFit="1" customWidth="1"/>
    <col min="8" max="8" width="8.81640625" customWidth="1"/>
    <col min="9" max="9" width="5" customWidth="1"/>
    <col min="10" max="10" width="20.453125" customWidth="1"/>
    <col min="11" max="11" width="11" customWidth="1"/>
  </cols>
  <sheetData>
    <row r="1" spans="1:11" s="6" customFormat="1" ht="42" x14ac:dyDescent="0.25">
      <c r="A1" s="10" t="s">
        <v>0</v>
      </c>
      <c r="B1" s="10" t="s">
        <v>77</v>
      </c>
      <c r="C1" s="10" t="s">
        <v>1</v>
      </c>
      <c r="D1" s="11" t="s">
        <v>2</v>
      </c>
      <c r="E1" s="10" t="s">
        <v>3</v>
      </c>
      <c r="F1" s="53" t="s">
        <v>4</v>
      </c>
      <c r="G1" s="39" t="s">
        <v>5</v>
      </c>
      <c r="H1" s="13" t="s">
        <v>6</v>
      </c>
      <c r="I1" s="13" t="s">
        <v>108</v>
      </c>
      <c r="J1" s="6" t="s">
        <v>78</v>
      </c>
      <c r="K1" s="6" t="s">
        <v>73</v>
      </c>
    </row>
    <row r="2" spans="1:11" ht="29" customHeight="1" x14ac:dyDescent="0.35">
      <c r="A2" s="47" t="s">
        <v>13</v>
      </c>
      <c r="B2" s="46" t="s">
        <v>8</v>
      </c>
      <c r="C2" s="41" t="s">
        <v>14</v>
      </c>
      <c r="D2" s="47" t="s">
        <v>15</v>
      </c>
      <c r="E2" s="41" t="s">
        <v>106</v>
      </c>
      <c r="F2" s="48">
        <v>20</v>
      </c>
      <c r="G2" s="50"/>
      <c r="H2" s="41" t="b">
        <v>1</v>
      </c>
      <c r="I2" s="41"/>
      <c r="J2" s="41" t="s">
        <v>74</v>
      </c>
      <c r="K2" s="41" t="s">
        <v>83</v>
      </c>
    </row>
    <row r="3" spans="1:11" ht="29" customHeight="1" x14ac:dyDescent="0.35">
      <c r="A3" s="41" t="s">
        <v>7</v>
      </c>
      <c r="B3" s="46" t="s">
        <v>8</v>
      </c>
      <c r="C3" s="43" t="s">
        <v>9</v>
      </c>
      <c r="D3" s="47" t="s">
        <v>10</v>
      </c>
      <c r="E3" s="43" t="s">
        <v>105</v>
      </c>
      <c r="F3" s="48">
        <v>80</v>
      </c>
      <c r="G3" s="50"/>
      <c r="H3" s="41"/>
      <c r="I3" s="41"/>
      <c r="J3" s="41" t="s">
        <v>75</v>
      </c>
      <c r="K3" s="41" t="s">
        <v>80</v>
      </c>
    </row>
    <row r="4" spans="1:11" ht="15" x14ac:dyDescent="0.35">
      <c r="A4" s="41" t="s">
        <v>11</v>
      </c>
      <c r="B4" s="46" t="s">
        <v>8</v>
      </c>
      <c r="C4" s="41" t="s">
        <v>12</v>
      </c>
      <c r="D4" s="47" t="s">
        <v>10</v>
      </c>
      <c r="E4" s="41" t="s">
        <v>106</v>
      </c>
      <c r="F4" s="48">
        <v>100</v>
      </c>
      <c r="G4" s="50">
        <v>10</v>
      </c>
      <c r="H4" s="41"/>
      <c r="I4" s="41"/>
      <c r="J4" s="41" t="s">
        <v>74</v>
      </c>
      <c r="K4" s="41" t="s">
        <v>88</v>
      </c>
    </row>
    <row r="5" spans="1:11" ht="29" customHeight="1" x14ac:dyDescent="0.35">
      <c r="A5" s="47" t="s">
        <v>18</v>
      </c>
      <c r="B5" s="46" t="s">
        <v>8</v>
      </c>
      <c r="C5" s="41" t="s">
        <v>19</v>
      </c>
      <c r="D5" s="47" t="s">
        <v>15</v>
      </c>
      <c r="E5" s="41" t="s">
        <v>106</v>
      </c>
      <c r="F5" s="48">
        <v>104</v>
      </c>
      <c r="G5" s="50"/>
      <c r="H5" s="41"/>
      <c r="I5" s="41"/>
      <c r="J5" s="41" t="s">
        <v>74</v>
      </c>
      <c r="K5" s="41" t="s">
        <v>81</v>
      </c>
    </row>
    <row r="6" spans="1:11" ht="29" customHeight="1" x14ac:dyDescent="0.35">
      <c r="A6" s="47" t="s">
        <v>16</v>
      </c>
      <c r="B6" s="46" t="s">
        <v>8</v>
      </c>
      <c r="C6" s="41" t="s">
        <v>17</v>
      </c>
      <c r="D6" s="47" t="s">
        <v>15</v>
      </c>
      <c r="E6" s="41" t="s">
        <v>106</v>
      </c>
      <c r="F6" s="48">
        <v>50</v>
      </c>
      <c r="G6" s="50"/>
      <c r="H6" s="41" t="b">
        <v>1</v>
      </c>
      <c r="I6" s="41"/>
      <c r="J6" s="41" t="s">
        <v>75</v>
      </c>
      <c r="K6" s="41" t="s">
        <v>80</v>
      </c>
    </row>
    <row r="7" spans="1:11" ht="29" customHeight="1" x14ac:dyDescent="0.35">
      <c r="A7" s="40" t="s">
        <v>121</v>
      </c>
      <c r="B7" s="40" t="s">
        <v>122</v>
      </c>
      <c r="C7" s="40" t="s">
        <v>123</v>
      </c>
      <c r="D7" s="40" t="s">
        <v>15</v>
      </c>
      <c r="E7" s="40" t="s">
        <v>106</v>
      </c>
      <c r="F7" s="49">
        <v>350</v>
      </c>
      <c r="G7" s="51"/>
      <c r="H7" s="41"/>
      <c r="I7" s="41"/>
      <c r="J7" s="41" t="s">
        <v>75</v>
      </c>
      <c r="K7" s="41" t="s">
        <v>80</v>
      </c>
    </row>
    <row r="8" spans="1:11" ht="29" x14ac:dyDescent="0.35">
      <c r="A8" s="41" t="s">
        <v>30</v>
      </c>
      <c r="B8" s="41" t="s">
        <v>24</v>
      </c>
      <c r="C8" s="44" t="s">
        <v>31</v>
      </c>
      <c r="D8" s="41" t="s">
        <v>15</v>
      </c>
      <c r="E8" s="43" t="s">
        <v>105</v>
      </c>
      <c r="F8" s="48">
        <v>150</v>
      </c>
      <c r="G8" s="50"/>
      <c r="H8" s="41"/>
      <c r="I8" s="41"/>
      <c r="J8" s="41" t="s">
        <v>79</v>
      </c>
      <c r="K8" s="41" t="s">
        <v>82</v>
      </c>
    </row>
    <row r="9" spans="1:11" ht="29" x14ac:dyDescent="0.35">
      <c r="A9" s="41" t="s">
        <v>23</v>
      </c>
      <c r="B9" s="41" t="s">
        <v>24</v>
      </c>
      <c r="C9" s="42" t="s">
        <v>25</v>
      </c>
      <c r="D9" s="41" t="s">
        <v>10</v>
      </c>
      <c r="E9" s="43" t="s">
        <v>105</v>
      </c>
      <c r="F9" s="48">
        <v>5000</v>
      </c>
      <c r="G9" s="50"/>
      <c r="H9" s="41"/>
      <c r="I9" s="41"/>
      <c r="J9" s="41" t="s">
        <v>75</v>
      </c>
      <c r="K9" s="41" t="s">
        <v>80</v>
      </c>
    </row>
    <row r="10" spans="1:11" ht="29" customHeight="1" x14ac:dyDescent="0.35">
      <c r="A10" s="41" t="s">
        <v>26</v>
      </c>
      <c r="B10" s="41" t="s">
        <v>24</v>
      </c>
      <c r="C10" s="41" t="s">
        <v>27</v>
      </c>
      <c r="D10" s="41" t="s">
        <v>10</v>
      </c>
      <c r="E10" s="43" t="s">
        <v>105</v>
      </c>
      <c r="F10" s="48">
        <v>5000</v>
      </c>
      <c r="G10" s="50">
        <v>35</v>
      </c>
      <c r="H10" s="41"/>
      <c r="I10" s="41"/>
      <c r="J10" s="41" t="s">
        <v>74</v>
      </c>
      <c r="K10" s="41" t="s">
        <v>84</v>
      </c>
    </row>
    <row r="11" spans="1:11" ht="14.5" customHeight="1" x14ac:dyDescent="0.35">
      <c r="A11" s="41" t="s">
        <v>32</v>
      </c>
      <c r="B11" s="41" t="s">
        <v>24</v>
      </c>
      <c r="C11" s="45" t="s">
        <v>33</v>
      </c>
      <c r="D11" s="43" t="s">
        <v>15</v>
      </c>
      <c r="E11" s="43" t="s">
        <v>105</v>
      </c>
      <c r="F11" s="48">
        <v>150</v>
      </c>
      <c r="G11" s="50">
        <v>20</v>
      </c>
      <c r="H11" s="41" t="b">
        <v>1</v>
      </c>
      <c r="I11" s="41"/>
      <c r="J11" s="41" t="s">
        <v>75</v>
      </c>
      <c r="K11" s="41" t="s">
        <v>80</v>
      </c>
    </row>
    <row r="12" spans="1:11" ht="41" customHeight="1" x14ac:dyDescent="0.35">
      <c r="A12" s="41" t="s">
        <v>28</v>
      </c>
      <c r="B12" s="41" t="s">
        <v>24</v>
      </c>
      <c r="C12" s="44" t="s">
        <v>29</v>
      </c>
      <c r="D12" s="41" t="s">
        <v>10</v>
      </c>
      <c r="E12" s="43" t="s">
        <v>105</v>
      </c>
      <c r="F12" s="48">
        <v>4500</v>
      </c>
      <c r="G12" s="50"/>
      <c r="H12" s="41"/>
      <c r="I12" s="41"/>
      <c r="J12" s="41" t="s">
        <v>76</v>
      </c>
      <c r="K12" s="41" t="s">
        <v>85</v>
      </c>
    </row>
    <row r="13" spans="1:11" ht="27" customHeight="1" x14ac:dyDescent="0.35">
      <c r="A13" s="40" t="s">
        <v>109</v>
      </c>
      <c r="B13" s="40" t="s">
        <v>110</v>
      </c>
      <c r="C13" s="40" t="s">
        <v>111</v>
      </c>
      <c r="D13" s="40" t="s">
        <v>10</v>
      </c>
      <c r="E13" s="40" t="s">
        <v>105</v>
      </c>
      <c r="F13" s="49">
        <v>4800</v>
      </c>
      <c r="G13" s="51"/>
      <c r="H13" s="41"/>
      <c r="I13" s="41"/>
      <c r="J13" s="41" t="s">
        <v>76</v>
      </c>
      <c r="K13" s="41" t="s">
        <v>86</v>
      </c>
    </row>
    <row r="14" spans="1:11" ht="15" x14ac:dyDescent="0.35">
      <c r="A14" s="40" t="s">
        <v>113</v>
      </c>
      <c r="B14" s="40" t="s">
        <v>110</v>
      </c>
      <c r="C14" s="40" t="s">
        <v>114</v>
      </c>
      <c r="D14" s="40" t="s">
        <v>15</v>
      </c>
      <c r="E14" s="40" t="s">
        <v>106</v>
      </c>
      <c r="F14" s="49">
        <v>220</v>
      </c>
      <c r="G14" s="51">
        <v>25</v>
      </c>
      <c r="H14" s="41"/>
      <c r="I14" s="41"/>
      <c r="J14" s="41" t="s">
        <v>76</v>
      </c>
      <c r="K14" s="41" t="s">
        <v>87</v>
      </c>
    </row>
    <row r="15" spans="1:11" ht="29" customHeight="1" x14ac:dyDescent="0.35">
      <c r="A15" s="40" t="s">
        <v>118</v>
      </c>
      <c r="B15" s="40" t="s">
        <v>24</v>
      </c>
      <c r="C15" s="40" t="s">
        <v>119</v>
      </c>
      <c r="D15" s="40" t="s">
        <v>15</v>
      </c>
      <c r="E15" s="40" t="s">
        <v>105</v>
      </c>
      <c r="F15" s="49">
        <v>180</v>
      </c>
      <c r="G15" s="51"/>
      <c r="H15" s="41"/>
      <c r="I15" s="41"/>
      <c r="J15" s="41" t="s">
        <v>76</v>
      </c>
      <c r="K15" s="41" t="s">
        <v>87</v>
      </c>
    </row>
    <row r="16" spans="1:11" ht="29" x14ac:dyDescent="0.35">
      <c r="A16" s="40" t="s">
        <v>115</v>
      </c>
      <c r="B16" s="40" t="s">
        <v>116</v>
      </c>
      <c r="C16" s="40" t="s">
        <v>117</v>
      </c>
      <c r="D16" s="40" t="s">
        <v>22</v>
      </c>
      <c r="E16" s="40" t="s">
        <v>106</v>
      </c>
      <c r="F16" s="49">
        <v>950</v>
      </c>
      <c r="G16" s="51"/>
      <c r="H16" s="41"/>
      <c r="I16" s="41"/>
      <c r="J16" s="41" t="s">
        <v>75</v>
      </c>
      <c r="K16" s="41" t="s">
        <v>80</v>
      </c>
    </row>
    <row r="17" spans="1:11" ht="29" x14ac:dyDescent="0.35">
      <c r="A17" s="41" t="s">
        <v>20</v>
      </c>
      <c r="B17" s="46" t="s">
        <v>8</v>
      </c>
      <c r="C17" s="43" t="s">
        <v>21</v>
      </c>
      <c r="D17" s="47" t="s">
        <v>22</v>
      </c>
      <c r="E17" s="41" t="s">
        <v>106</v>
      </c>
      <c r="F17" s="48">
        <v>1000</v>
      </c>
      <c r="G17" s="50"/>
      <c r="H17" s="41"/>
      <c r="I17" s="41"/>
      <c r="J17" s="41" t="s">
        <v>74</v>
      </c>
      <c r="K17" s="41"/>
    </row>
    <row r="18" spans="1:11" ht="28" customHeight="1" x14ac:dyDescent="0.25">
      <c r="A18" s="40"/>
      <c r="B18" s="40" t="s">
        <v>125</v>
      </c>
      <c r="C18" s="40" t="s">
        <v>120</v>
      </c>
      <c r="D18" s="40" t="s">
        <v>15</v>
      </c>
      <c r="E18" s="40" t="s">
        <v>107</v>
      </c>
      <c r="F18" s="49">
        <v>150</v>
      </c>
      <c r="G18" s="51">
        <v>40</v>
      </c>
      <c r="H18" s="40"/>
      <c r="I18" s="40"/>
      <c r="J18" s="40" t="s">
        <v>74</v>
      </c>
      <c r="K18" s="40" t="s">
        <v>112</v>
      </c>
    </row>
    <row r="19" spans="1:11" ht="13.5" customHeight="1" x14ac:dyDescent="0.25">
      <c r="A19" s="40"/>
      <c r="B19" s="40" t="s">
        <v>125</v>
      </c>
      <c r="C19" s="40" t="s">
        <v>25</v>
      </c>
      <c r="D19" s="40" t="s">
        <v>10</v>
      </c>
      <c r="E19" s="40" t="s">
        <v>107</v>
      </c>
      <c r="F19" s="49">
        <v>5000</v>
      </c>
      <c r="G19" s="51"/>
      <c r="H19" s="40"/>
      <c r="I19" s="40"/>
      <c r="J19" s="40" t="s">
        <v>75</v>
      </c>
      <c r="K19" s="40" t="s">
        <v>80</v>
      </c>
    </row>
    <row r="20" spans="1:11" ht="13.5" customHeight="1" x14ac:dyDescent="0.35">
      <c r="A20" s="41"/>
      <c r="B20" s="41" t="s">
        <v>34</v>
      </c>
      <c r="C20" s="42" t="s">
        <v>25</v>
      </c>
      <c r="D20" s="41" t="s">
        <v>10</v>
      </c>
      <c r="E20" s="42" t="s">
        <v>107</v>
      </c>
      <c r="F20" s="48">
        <v>5000</v>
      </c>
      <c r="G20" s="50"/>
      <c r="H20" s="40" t="b">
        <v>1</v>
      </c>
      <c r="I20" s="40"/>
      <c r="J20" s="40" t="s">
        <v>75</v>
      </c>
      <c r="K20" s="40" t="s">
        <v>80</v>
      </c>
    </row>
    <row r="21" spans="1:11" ht="13.5" customHeight="1" x14ac:dyDescent="0.35">
      <c r="A21" s="41"/>
      <c r="B21" s="41" t="s">
        <v>34</v>
      </c>
      <c r="C21" s="41" t="s">
        <v>27</v>
      </c>
      <c r="D21" s="41" t="s">
        <v>10</v>
      </c>
      <c r="E21" s="42" t="s">
        <v>107</v>
      </c>
      <c r="F21" s="48">
        <v>5000</v>
      </c>
      <c r="G21" s="50"/>
      <c r="H21" s="40"/>
      <c r="I21" s="40"/>
      <c r="J21" s="40" t="s">
        <v>79</v>
      </c>
      <c r="K21" s="40" t="s">
        <v>82</v>
      </c>
    </row>
    <row r="22" spans="1:11" ht="13.5" customHeight="1" x14ac:dyDescent="0.35">
      <c r="A22" s="41"/>
      <c r="B22" s="41" t="s">
        <v>34</v>
      </c>
      <c r="C22" s="44" t="s">
        <v>29</v>
      </c>
      <c r="D22" s="41" t="s">
        <v>10</v>
      </c>
      <c r="E22" s="42" t="s">
        <v>107</v>
      </c>
      <c r="F22" s="48">
        <v>4500</v>
      </c>
      <c r="G22" s="50"/>
      <c r="H22" s="40"/>
      <c r="I22" s="40"/>
      <c r="J22" s="40" t="s">
        <v>75</v>
      </c>
      <c r="K22" s="40" t="s">
        <v>80</v>
      </c>
    </row>
    <row r="23" spans="1:11" ht="13.5" customHeight="1" x14ac:dyDescent="0.35">
      <c r="A23" s="41"/>
      <c r="B23" s="41" t="s">
        <v>34</v>
      </c>
      <c r="C23" s="44" t="s">
        <v>31</v>
      </c>
      <c r="D23" s="41" t="s">
        <v>15</v>
      </c>
      <c r="E23" s="42" t="s">
        <v>107</v>
      </c>
      <c r="F23" s="48">
        <v>150</v>
      </c>
      <c r="G23" s="50">
        <v>35</v>
      </c>
      <c r="H23" s="40"/>
      <c r="I23" s="40"/>
      <c r="J23" s="40" t="s">
        <v>74</v>
      </c>
      <c r="K23" s="40" t="s">
        <v>81</v>
      </c>
    </row>
    <row r="24" spans="1:11" ht="13.5" customHeight="1" x14ac:dyDescent="0.35">
      <c r="A24" s="41"/>
      <c r="B24" s="41" t="s">
        <v>34</v>
      </c>
      <c r="C24" s="45" t="s">
        <v>33</v>
      </c>
      <c r="D24" s="43" t="s">
        <v>15</v>
      </c>
      <c r="E24" s="42" t="s">
        <v>107</v>
      </c>
      <c r="F24" s="48">
        <v>150</v>
      </c>
      <c r="G24" s="50"/>
      <c r="H24" s="40"/>
      <c r="I24" s="40"/>
      <c r="J24" s="40" t="s">
        <v>76</v>
      </c>
      <c r="K24" s="40" t="s">
        <v>124</v>
      </c>
    </row>
    <row r="36" spans="4:4" ht="15" x14ac:dyDescent="0.35">
      <c r="D36" s="3"/>
    </row>
  </sheetData>
  <autoFilter ref="A1:G18" xr:uid="{23277D7F-FEEB-4763-B364-04AA243FCA2B}">
    <filterColumn colId="1">
      <filters>
        <filter val="GEM-X Single Immune Profiling Solution v3"/>
        <filter val="KBrand 775 from 10x"/>
        <filter val="Next GEM 5' V2 GEX + Human/Mouse VDJ + Feature Barcode. DUAL INDEXING"/>
      </filters>
    </filterColumn>
    <sortState xmlns:xlrd2="http://schemas.microsoft.com/office/spreadsheetml/2017/richdata2" ref="A2:G24">
      <sortCondition ref="A1:A18"/>
    </sortState>
  </autoFilter>
  <phoneticPr fontId="1" type="noConversion"/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0F6873-EDC7-4BE5-9189-E951DA1318D3}">
  <dimension ref="A1:G9"/>
  <sheetViews>
    <sheetView zoomScale="65" workbookViewId="0">
      <selection activeCell="G7" sqref="A2:G7"/>
    </sheetView>
  </sheetViews>
  <sheetFormatPr defaultColWidth="8.81640625" defaultRowHeight="13.5" customHeight="1" x14ac:dyDescent="0.25"/>
  <cols>
    <col min="1" max="1" width="34.36328125" customWidth="1"/>
    <col min="2" max="2" width="73.36328125" customWidth="1"/>
    <col min="3" max="3" width="33.6328125" bestFit="1" customWidth="1"/>
    <col min="4" max="4" width="33.6328125" customWidth="1"/>
    <col min="5" max="5" width="13.81640625" customWidth="1"/>
    <col min="6" max="6" width="19.81640625" customWidth="1"/>
  </cols>
  <sheetData>
    <row r="1" spans="1:7" ht="15" x14ac:dyDescent="0.35">
      <c r="A1" s="7" t="s">
        <v>35</v>
      </c>
      <c r="B1" s="6" t="s">
        <v>77</v>
      </c>
      <c r="C1" s="2" t="s">
        <v>36</v>
      </c>
      <c r="D1" s="12" t="s">
        <v>3</v>
      </c>
      <c r="E1" s="6" t="s">
        <v>37</v>
      </c>
      <c r="F1" t="s">
        <v>78</v>
      </c>
      <c r="G1" t="s">
        <v>73</v>
      </c>
    </row>
    <row r="2" spans="1:7" ht="15" x14ac:dyDescent="0.35">
      <c r="A2" s="8" t="s">
        <v>38</v>
      </c>
      <c r="B2" t="s">
        <v>39</v>
      </c>
      <c r="C2" s="5" t="s">
        <v>40</v>
      </c>
      <c r="D2" s="5" t="s">
        <v>126</v>
      </c>
      <c r="E2" s="9">
        <v>4000</v>
      </c>
      <c r="F2" t="s">
        <v>79</v>
      </c>
      <c r="G2" t="s">
        <v>83</v>
      </c>
    </row>
    <row r="3" spans="1:7" ht="15" x14ac:dyDescent="0.35">
      <c r="A3" s="8" t="s">
        <v>38</v>
      </c>
      <c r="B3" t="s">
        <v>39</v>
      </c>
      <c r="C3" s="5" t="s">
        <v>41</v>
      </c>
      <c r="D3" s="5" t="s">
        <v>126</v>
      </c>
      <c r="E3" s="9">
        <v>5000</v>
      </c>
      <c r="F3" t="s">
        <v>75</v>
      </c>
      <c r="G3" t="s">
        <v>80</v>
      </c>
    </row>
    <row r="4" spans="1:7" ht="15" x14ac:dyDescent="0.35">
      <c r="A4" s="8" t="s">
        <v>38</v>
      </c>
      <c r="B4" t="s">
        <v>24</v>
      </c>
      <c r="C4" s="5" t="s">
        <v>42</v>
      </c>
      <c r="D4" s="5" t="s">
        <v>126</v>
      </c>
      <c r="E4" s="9">
        <v>500</v>
      </c>
      <c r="F4" t="s">
        <v>74</v>
      </c>
      <c r="G4" t="s">
        <v>88</v>
      </c>
    </row>
    <row r="5" spans="1:7" ht="15" x14ac:dyDescent="0.35">
      <c r="A5" s="8" t="s">
        <v>38</v>
      </c>
      <c r="B5" t="s">
        <v>39</v>
      </c>
      <c r="C5" s="5" t="s">
        <v>43</v>
      </c>
      <c r="D5" s="5" t="s">
        <v>126</v>
      </c>
      <c r="E5" s="9">
        <v>1500</v>
      </c>
      <c r="F5" t="s">
        <v>75</v>
      </c>
      <c r="G5" t="s">
        <v>81</v>
      </c>
    </row>
    <row r="6" spans="1:7" ht="15" x14ac:dyDescent="0.35">
      <c r="A6" s="8" t="s">
        <v>44</v>
      </c>
      <c r="B6" t="s">
        <v>39</v>
      </c>
      <c r="C6" t="s">
        <v>45</v>
      </c>
      <c r="D6" s="5" t="s">
        <v>126</v>
      </c>
      <c r="E6" s="9">
        <v>2500</v>
      </c>
      <c r="F6" t="s">
        <v>76</v>
      </c>
      <c r="G6" t="s">
        <v>80</v>
      </c>
    </row>
    <row r="7" spans="1:7" ht="15" x14ac:dyDescent="0.35">
      <c r="A7" s="8" t="s">
        <v>46</v>
      </c>
      <c r="B7" t="s">
        <v>47</v>
      </c>
      <c r="C7" s="5" t="s">
        <v>48</v>
      </c>
      <c r="D7" s="5" t="s">
        <v>126</v>
      </c>
      <c r="E7" s="9">
        <v>5000</v>
      </c>
      <c r="F7" t="s">
        <v>76</v>
      </c>
      <c r="G7" t="s">
        <v>80</v>
      </c>
    </row>
    <row r="8" spans="1:7" ht="14" x14ac:dyDescent="0.25">
      <c r="A8" s="1"/>
      <c r="E8" s="1"/>
    </row>
    <row r="9" spans="1:7" ht="14" x14ac:dyDescent="0.25">
      <c r="A9" s="1"/>
      <c r="E9" s="1"/>
    </row>
  </sheetData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D55C99-92A7-4BC5-9E4D-8387E6974F28}">
  <dimension ref="A1:C20"/>
  <sheetViews>
    <sheetView zoomScale="139" workbookViewId="0">
      <selection activeCell="C16" sqref="C16"/>
    </sheetView>
  </sheetViews>
  <sheetFormatPr defaultColWidth="8.81640625" defaultRowHeight="13.5" customHeight="1" x14ac:dyDescent="0.25"/>
  <cols>
    <col min="1" max="1" width="19.1796875" customWidth="1"/>
    <col min="2" max="2" width="20.36328125" customWidth="1"/>
    <col min="3" max="3" width="20.6328125" customWidth="1"/>
  </cols>
  <sheetData>
    <row r="1" spans="1:3" ht="14" customHeight="1" x14ac:dyDescent="0.25">
      <c r="A1" s="6" t="s">
        <v>49</v>
      </c>
      <c r="B1" s="6" t="s">
        <v>50</v>
      </c>
      <c r="C1" s="6" t="s">
        <v>51</v>
      </c>
    </row>
    <row r="2" spans="1:3" ht="14" x14ac:dyDescent="0.25">
      <c r="A2" s="4" t="s">
        <v>52</v>
      </c>
      <c r="B2" s="4" t="s">
        <v>53</v>
      </c>
      <c r="C2" s="4">
        <f>'Surcharge Editing Page'!C4</f>
        <v>1.1000000000000001</v>
      </c>
    </row>
    <row r="3" spans="1:3" ht="14" x14ac:dyDescent="0.25">
      <c r="A3" s="4" t="s">
        <v>52</v>
      </c>
      <c r="B3" s="4" t="s">
        <v>54</v>
      </c>
      <c r="C3" s="4">
        <f>'Surcharge Editing Page'!D4</f>
        <v>1.3</v>
      </c>
    </row>
    <row r="4" spans="1:3" ht="14" x14ac:dyDescent="0.25">
      <c r="A4" t="s">
        <v>55</v>
      </c>
      <c r="B4" s="4" t="s">
        <v>56</v>
      </c>
      <c r="C4" s="4">
        <v>1</v>
      </c>
    </row>
    <row r="5" spans="1:3" ht="14" x14ac:dyDescent="0.25">
      <c r="A5" t="s">
        <v>55</v>
      </c>
      <c r="B5" t="s">
        <v>57</v>
      </c>
      <c r="C5">
        <f>'Surcharge Editing Page'!D8</f>
        <v>1.3</v>
      </c>
    </row>
    <row r="6" spans="1:3" ht="14" x14ac:dyDescent="0.25">
      <c r="A6" t="s">
        <v>55</v>
      </c>
      <c r="B6" t="s">
        <v>58</v>
      </c>
      <c r="C6">
        <f>'Surcharge Editing Page'!E8</f>
        <v>1.45</v>
      </c>
    </row>
    <row r="7" spans="1:3" ht="14" x14ac:dyDescent="0.25">
      <c r="A7" t="s">
        <v>55</v>
      </c>
      <c r="B7" t="s">
        <v>59</v>
      </c>
      <c r="C7">
        <f>'Surcharge Editing Page'!F8</f>
        <v>1.2</v>
      </c>
    </row>
    <row r="8" spans="1:3" ht="13.5" customHeight="1" x14ac:dyDescent="0.25">
      <c r="A8" s="37" t="s">
        <v>95</v>
      </c>
      <c r="B8" s="38"/>
      <c r="C8" s="38"/>
    </row>
    <row r="9" spans="1:3" ht="13.5" customHeight="1" x14ac:dyDescent="0.25">
      <c r="A9" s="38"/>
      <c r="B9" s="38"/>
      <c r="C9" s="38"/>
    </row>
    <row r="10" spans="1:3" ht="13.5" customHeight="1" x14ac:dyDescent="0.25">
      <c r="A10" s="38"/>
      <c r="B10" s="38"/>
      <c r="C10" s="38"/>
    </row>
    <row r="11" spans="1:3" ht="13.5" customHeight="1" x14ac:dyDescent="0.25">
      <c r="A11" s="38"/>
      <c r="B11" s="38"/>
      <c r="C11" s="38"/>
    </row>
    <row r="13" spans="1:3" ht="14" x14ac:dyDescent="0.25"/>
    <row r="16" spans="1:3" ht="13.5" customHeight="1" x14ac:dyDescent="0.35">
      <c r="A16" s="14"/>
    </row>
    <row r="17" spans="1:3" ht="13.5" customHeight="1" x14ac:dyDescent="0.35">
      <c r="A17" s="14"/>
    </row>
    <row r="19" spans="1:3" ht="27" customHeight="1" x14ac:dyDescent="0.25">
      <c r="A19" s="13"/>
      <c r="B19" s="13"/>
      <c r="C19" s="13"/>
    </row>
    <row r="20" spans="1:3" ht="13.5" customHeight="1" x14ac:dyDescent="0.25">
      <c r="A20" s="4"/>
      <c r="B20" s="4"/>
    </row>
  </sheetData>
  <mergeCells count="1">
    <mergeCell ref="A8:C11"/>
  </mergeCells>
  <pageMargins left="0.7" right="0.7" top="0.75" bottom="0.75" header="0.3" footer="0.3"/>
  <pageSetup paperSize="9"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225A74-4726-489B-BA52-DC430EC611A1}">
  <dimension ref="A1:E19"/>
  <sheetViews>
    <sheetView tabSelected="1" zoomScale="197" workbookViewId="0">
      <selection activeCell="B2" sqref="B2"/>
    </sheetView>
  </sheetViews>
  <sheetFormatPr defaultColWidth="8.81640625" defaultRowHeight="14" x14ac:dyDescent="0.25"/>
  <cols>
    <col min="1" max="1" width="15" customWidth="1"/>
    <col min="2" max="2" width="17.36328125" customWidth="1"/>
    <col min="3" max="3" width="15.6328125" customWidth="1"/>
    <col min="4" max="4" width="15.453125" style="28" customWidth="1"/>
    <col min="5" max="5" width="17.453125" customWidth="1"/>
  </cols>
  <sheetData>
    <row r="1" spans="1:5" ht="15" x14ac:dyDescent="0.35">
      <c r="A1" s="24" t="s">
        <v>60</v>
      </c>
      <c r="B1" s="25" t="s">
        <v>61</v>
      </c>
      <c r="C1" s="25" t="s">
        <v>62</v>
      </c>
      <c r="D1" s="26" t="s">
        <v>63</v>
      </c>
      <c r="E1" s="6" t="s">
        <v>89</v>
      </c>
    </row>
    <row r="2" spans="1:5" ht="15" x14ac:dyDescent="0.35">
      <c r="A2" s="17" t="s">
        <v>45</v>
      </c>
      <c r="B2" s="18" t="s">
        <v>64</v>
      </c>
      <c r="C2" s="18">
        <v>0.15</v>
      </c>
      <c r="D2" s="27">
        <v>45610</v>
      </c>
      <c r="E2" t="s">
        <v>90</v>
      </c>
    </row>
    <row r="3" spans="1:5" ht="15" x14ac:dyDescent="0.35">
      <c r="A3" s="17" t="s">
        <v>45</v>
      </c>
      <c r="B3" s="18" t="s">
        <v>65</v>
      </c>
      <c r="C3" s="18">
        <v>0.2</v>
      </c>
      <c r="D3" s="27">
        <v>46009</v>
      </c>
      <c r="E3" t="s">
        <v>90</v>
      </c>
    </row>
    <row r="4" spans="1:5" ht="15" x14ac:dyDescent="0.35">
      <c r="A4" s="17" t="s">
        <v>66</v>
      </c>
      <c r="B4" s="18" t="s">
        <v>67</v>
      </c>
      <c r="C4" s="18">
        <v>0.18</v>
      </c>
      <c r="D4" s="27">
        <v>46034</v>
      </c>
      <c r="E4" t="s">
        <v>90</v>
      </c>
    </row>
    <row r="5" spans="1:5" ht="15" x14ac:dyDescent="0.35">
      <c r="A5" s="17" t="s">
        <v>66</v>
      </c>
      <c r="B5" s="18" t="s">
        <v>68</v>
      </c>
      <c r="C5" s="18">
        <v>0.3</v>
      </c>
      <c r="D5" s="27">
        <v>46034</v>
      </c>
      <c r="E5" t="s">
        <v>90</v>
      </c>
    </row>
    <row r="6" spans="1:5" ht="15" x14ac:dyDescent="0.35">
      <c r="A6" s="17" t="s">
        <v>66</v>
      </c>
      <c r="B6" s="18" t="s">
        <v>91</v>
      </c>
      <c r="C6" s="18">
        <v>45</v>
      </c>
      <c r="D6" s="27">
        <v>46034</v>
      </c>
      <c r="E6" t="s">
        <v>92</v>
      </c>
    </row>
    <row r="7" spans="1:5" ht="15" x14ac:dyDescent="0.35">
      <c r="A7" s="14" t="s">
        <v>93</v>
      </c>
      <c r="B7" s="18" t="s">
        <v>94</v>
      </c>
      <c r="C7" s="18">
        <v>200</v>
      </c>
      <c r="D7" s="28">
        <v>46388</v>
      </c>
      <c r="E7" t="s">
        <v>92</v>
      </c>
    </row>
    <row r="8" spans="1:5" ht="15" x14ac:dyDescent="0.35">
      <c r="A8" s="14"/>
    </row>
    <row r="9" spans="1:5" ht="15" x14ac:dyDescent="0.35">
      <c r="A9" s="14"/>
    </row>
    <row r="10" spans="1:5" ht="15" x14ac:dyDescent="0.35">
      <c r="A10" s="14"/>
    </row>
    <row r="11" spans="1:5" ht="15" x14ac:dyDescent="0.35">
      <c r="A11" s="14"/>
    </row>
    <row r="12" spans="1:5" ht="15" x14ac:dyDescent="0.35">
      <c r="A12" s="14"/>
    </row>
    <row r="13" spans="1:5" ht="15" x14ac:dyDescent="0.35">
      <c r="A13" s="14"/>
    </row>
    <row r="14" spans="1:5" ht="15" x14ac:dyDescent="0.35">
      <c r="A14" s="14"/>
    </row>
    <row r="15" spans="1:5" ht="15" x14ac:dyDescent="0.35">
      <c r="A15" s="14"/>
    </row>
    <row r="16" spans="1:5" ht="15" x14ac:dyDescent="0.35">
      <c r="A16" s="14"/>
    </row>
    <row r="17" spans="1:1" ht="15" x14ac:dyDescent="0.35">
      <c r="A17" s="14"/>
    </row>
    <row r="18" spans="1:1" ht="15" x14ac:dyDescent="0.35">
      <c r="A18" s="14"/>
    </row>
    <row r="19" spans="1:1" ht="15" x14ac:dyDescent="0.35">
      <c r="A19" s="14"/>
    </row>
  </sheetData>
  <pageMargins left="0.7" right="0.7" top="0.75" bottom="0.75" header="0.3" footer="0.3"/>
  <pageSetup orientation="portrait" horizontalDpi="4294967293" verticalDpi="4294967293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10A67B-8F15-4C29-B057-A84A9BFC79C1}">
  <dimension ref="A2:F11"/>
  <sheetViews>
    <sheetView zoomScale="163" workbookViewId="0">
      <selection activeCell="C4" sqref="C4"/>
    </sheetView>
  </sheetViews>
  <sheetFormatPr defaultColWidth="8.81640625" defaultRowHeight="14" x14ac:dyDescent="0.25"/>
  <cols>
    <col min="1" max="1" width="19.6328125" customWidth="1"/>
    <col min="2" max="2" width="6.6328125" customWidth="1"/>
    <col min="3" max="3" width="14" customWidth="1"/>
    <col min="4" max="4" width="15.453125" customWidth="1"/>
    <col min="5" max="5" width="11.6328125" customWidth="1"/>
    <col min="6" max="6" width="12.1796875" customWidth="1"/>
  </cols>
  <sheetData>
    <row r="2" spans="1:6" ht="26" x14ac:dyDescent="0.6">
      <c r="A2" s="20" t="s">
        <v>69</v>
      </c>
      <c r="B2" s="18"/>
      <c r="C2" s="18"/>
      <c r="D2" s="18"/>
      <c r="E2" s="18"/>
      <c r="F2" s="18"/>
    </row>
    <row r="3" spans="1:6" ht="15" x14ac:dyDescent="0.35">
      <c r="A3" s="18"/>
      <c r="B3" s="18"/>
      <c r="C3" s="21" t="s">
        <v>53</v>
      </c>
      <c r="D3" s="21" t="s">
        <v>54</v>
      </c>
      <c r="E3" s="18"/>
      <c r="F3" s="18"/>
    </row>
    <row r="4" spans="1:6" ht="15" x14ac:dyDescent="0.35">
      <c r="A4" s="23" t="s">
        <v>70</v>
      </c>
      <c r="B4" s="18"/>
      <c r="C4" s="18">
        <v>1.1000000000000001</v>
      </c>
      <c r="D4" s="18">
        <v>1.3</v>
      </c>
      <c r="E4" s="18"/>
      <c r="F4" s="18"/>
    </row>
    <row r="5" spans="1:6" ht="15" x14ac:dyDescent="0.35">
      <c r="A5" s="23"/>
      <c r="B5" s="18"/>
      <c r="C5" s="18"/>
      <c r="D5" s="18"/>
      <c r="E5" s="18"/>
      <c r="F5" s="18"/>
    </row>
    <row r="6" spans="1:6" ht="15" x14ac:dyDescent="0.35">
      <c r="A6" s="23"/>
      <c r="B6" s="19"/>
      <c r="C6" s="19"/>
      <c r="D6" s="19"/>
      <c r="E6" s="19"/>
      <c r="F6" s="19"/>
    </row>
    <row r="7" spans="1:6" ht="43.5" x14ac:dyDescent="0.35">
      <c r="A7" s="23"/>
      <c r="B7" s="19"/>
      <c r="C7" s="22" t="s">
        <v>56</v>
      </c>
      <c r="D7" s="22" t="s">
        <v>57</v>
      </c>
      <c r="E7" s="22" t="s">
        <v>58</v>
      </c>
      <c r="F7" s="22" t="s">
        <v>71</v>
      </c>
    </row>
    <row r="8" spans="1:6" ht="15" x14ac:dyDescent="0.35">
      <c r="A8" s="23" t="s">
        <v>72</v>
      </c>
      <c r="B8" s="18"/>
      <c r="C8" s="18">
        <v>1</v>
      </c>
      <c r="D8" s="18">
        <v>1.3</v>
      </c>
      <c r="E8" s="18">
        <v>1.45</v>
      </c>
      <c r="F8" s="18">
        <v>1.2</v>
      </c>
    </row>
    <row r="9" spans="1:6" x14ac:dyDescent="0.25">
      <c r="A9" s="15"/>
    </row>
    <row r="10" spans="1:6" ht="15" x14ac:dyDescent="0.35">
      <c r="A10" s="15"/>
      <c r="D10" s="16"/>
    </row>
    <row r="11" spans="1:6" x14ac:dyDescent="0.25">
      <c r="A11" s="15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77D6A2-0063-084E-86E1-5492E421B735}">
  <sheetPr>
    <tabColor theme="3" tint="0.749992370372631"/>
  </sheetPr>
  <dimension ref="A1:B6"/>
  <sheetViews>
    <sheetView zoomScale="174" workbookViewId="0">
      <selection activeCell="B8" sqref="B8"/>
    </sheetView>
  </sheetViews>
  <sheetFormatPr defaultColWidth="10.90625" defaultRowHeight="14" x14ac:dyDescent="0.25"/>
  <cols>
    <col min="1" max="1" width="21.1796875" customWidth="1"/>
    <col min="2" max="2" width="59.6328125" customWidth="1"/>
  </cols>
  <sheetData>
    <row r="1" spans="1:2" ht="15" x14ac:dyDescent="0.35">
      <c r="A1" s="29" t="s">
        <v>1</v>
      </c>
      <c r="B1" s="29" t="s">
        <v>96</v>
      </c>
    </row>
    <row r="2" spans="1:2" ht="15" x14ac:dyDescent="0.35">
      <c r="A2" s="34" t="s">
        <v>102</v>
      </c>
      <c r="B2" s="33" t="s">
        <v>103</v>
      </c>
    </row>
    <row r="3" spans="1:2" x14ac:dyDescent="0.25">
      <c r="A3" s="35" t="s">
        <v>97</v>
      </c>
      <c r="B3" s="30" t="s">
        <v>98</v>
      </c>
    </row>
    <row r="4" spans="1:2" x14ac:dyDescent="0.25">
      <c r="A4" s="35" t="s">
        <v>99</v>
      </c>
      <c r="B4" s="31">
        <v>46037</v>
      </c>
    </row>
    <row r="5" spans="1:2" x14ac:dyDescent="0.25">
      <c r="A5" s="35" t="s">
        <v>100</v>
      </c>
      <c r="B5" s="32" t="s">
        <v>101</v>
      </c>
    </row>
    <row r="6" spans="1:2" ht="16" customHeight="1" x14ac:dyDescent="0.25">
      <c r="A6" s="35" t="s">
        <v>3</v>
      </c>
      <c r="B6" s="36" t="s">
        <v>104</v>
      </c>
    </row>
  </sheetData>
  <hyperlinks>
    <hyperlink ref="B5" r:id="rId1" xr:uid="{2912F4FD-196E-2343-A039-791D9F5CD5E4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7163bdb-27fe-447c-a7bb-3ea6416b971c">
      <Terms xmlns="http://schemas.microsoft.com/office/infopath/2007/PartnerControls"/>
    </lcf76f155ced4ddcb4097134ff3c332f>
    <TaxCatchAll xmlns="451c1f4f-a267-451c-a3af-09c2fa4691f1" xsi:nil="true"/>
    <Notes xmlns="17163bdb-27fe-447c-a7bb-3ea6416b971c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F2383067D6EEE4E8ACEA30962E5DE00" ma:contentTypeVersion="22" ma:contentTypeDescription="Create a new document." ma:contentTypeScope="" ma:versionID="0ccd53f3dd568480f5d3153c07534dba">
  <xsd:schema xmlns:xsd="http://www.w3.org/2001/XMLSchema" xmlns:xs="http://www.w3.org/2001/XMLSchema" xmlns:p="http://schemas.microsoft.com/office/2006/metadata/properties" xmlns:ns2="17163bdb-27fe-447c-a7bb-3ea6416b971c" xmlns:ns3="451c1f4f-a267-451c-a3af-09c2fa4691f1" targetNamespace="http://schemas.microsoft.com/office/2006/metadata/properties" ma:root="true" ma:fieldsID="0211ec30299ddd16592819eab657260f" ns2:_="" ns3:_="">
    <xsd:import namespace="17163bdb-27fe-447c-a7bb-3ea6416b971c"/>
    <xsd:import namespace="451c1f4f-a267-451c-a3af-09c2fa4691f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3:TaxCatchAll" minOccurs="0"/>
                <xsd:element ref="ns2:lcf76f155ced4ddcb4097134ff3c332f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Location" minOccurs="0"/>
                <xsd:element ref="ns2:MediaServiceBillingMetadata" minOccurs="0"/>
                <xsd:element ref="ns2:Not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7163bdb-27fe-447c-a7bb-3ea6416b971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b1e4c0ed-bf32-4425-b6c9-45ce390d609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5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  <xsd:element name="Notes" ma:index="27" nillable="true" ma:displayName="Notes" ma:format="Dropdown" ma:internalName="Notes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51c1f4f-a267-451c-a3af-09c2fa4691f1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91dc1a2b-6cb4-4564-97ff-04e36c7c0068}" ma:internalName="TaxCatchAll" ma:showField="CatchAllData" ma:web="451c1f4f-a267-451c-a3af-09c2fa4691f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43B393C-CAC2-4750-ACA8-00CCC9C377F8}">
  <ds:schemaRefs>
    <ds:schemaRef ds:uri="http://schemas.microsoft.com/office/2006/metadata/properties"/>
    <ds:schemaRef ds:uri="http://schemas.microsoft.com/office/infopath/2007/PartnerControls"/>
    <ds:schemaRef ds:uri="17163bdb-27fe-447c-a7bb-3ea6416b971c"/>
    <ds:schemaRef ds:uri="451c1f4f-a267-451c-a3af-09c2fa4691f1"/>
  </ds:schemaRefs>
</ds:datastoreItem>
</file>

<file path=customXml/itemProps2.xml><?xml version="1.0" encoding="utf-8"?>
<ds:datastoreItem xmlns:ds="http://schemas.openxmlformats.org/officeDocument/2006/customXml" ds:itemID="{D92D0016-15CA-409B-AD9C-8027C631137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7163bdb-27fe-447c-a7bb-3ea6416b971c"/>
    <ds:schemaRef ds:uri="451c1f4f-a267-451c-a3af-09c2fa4691f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8371111F-EFF7-47C6-8985-0F43994E666C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Combined Price List</vt:lpstr>
      <vt:lpstr>Processing Charges</vt:lpstr>
      <vt:lpstr>Config</vt:lpstr>
      <vt:lpstr>Discount</vt:lpstr>
      <vt:lpstr>Surcharge Editing Page</vt:lpstr>
      <vt:lpstr>Info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Changyuan Ni</dc:creator>
  <cp:keywords/>
  <dc:description/>
  <cp:lastModifiedBy>YS Chew</cp:lastModifiedBy>
  <cp:revision/>
  <dcterms:created xsi:type="dcterms:W3CDTF">2024-09-06T00:51:19Z</dcterms:created>
  <dcterms:modified xsi:type="dcterms:W3CDTF">2026-02-03T02:09:48Z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0x0101009F2383067D6EEE4E8ACEA30962E5DE00</vt:lpwstr>
  </property>
  <property fmtid="{D5CDD505-2E9C-101B-9397-08002B2CF9AE}" pid="3" name="MediaServiceImageTags">
    <vt:lpwstr/>
  </property>
</Properties>
</file>